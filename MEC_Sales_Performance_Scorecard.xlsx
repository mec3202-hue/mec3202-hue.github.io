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Quarterly Trend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0.0%"/>
  </numFmts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color rgb="FF888899"/>
      <sz val="9"/>
    </font>
    <font>
      <name val="Arial"/>
      <charset val="1"/>
      <family val="0"/>
      <color rgb="FF888899"/>
      <sz val="8"/>
    </font>
    <font>
      <name val="Arial"/>
      <charset val="1"/>
      <family val="0"/>
      <b val="1"/>
      <color rgb="FF7C3AED"/>
      <sz val="20"/>
    </font>
    <font>
      <name val="Arial"/>
      <charset val="1"/>
      <family val="0"/>
      <b val="1"/>
      <color rgb="FF06B6D4"/>
      <sz val="20"/>
    </font>
    <font>
      <name val="Arial"/>
      <charset val="1"/>
      <family val="0"/>
      <b val="1"/>
      <color rgb="FF10B981"/>
      <sz val="20"/>
    </font>
    <font>
      <name val="Arial"/>
      <charset val="1"/>
      <family val="0"/>
      <b val="1"/>
      <color rgb="FFF59E0B"/>
      <sz val="20"/>
    </font>
    <font>
      <name val="Arial"/>
      <charset val="1"/>
      <family val="0"/>
      <i val="1"/>
      <color rgb="FF7C3AED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59E0B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DDDDEE"/>
      <sz val="10"/>
    </font>
    <font>
      <name val="Arial"/>
      <charset val="1"/>
      <family val="0"/>
      <b val="1"/>
      <color rgb="FF10B981"/>
      <sz val="10"/>
    </font>
    <font>
      <name val="Arial"/>
      <charset val="1"/>
      <family val="0"/>
      <b val="1"/>
      <color rgb="FFA78BFA"/>
      <sz val="9"/>
    </font>
    <font>
      <name val="Arial"/>
      <charset val="1"/>
      <family val="0"/>
      <b val="1"/>
      <color rgb="FF06B6D4"/>
      <sz val="9"/>
    </font>
    <font>
      <name val="Arial"/>
      <charset val="1"/>
      <family val="0"/>
      <b val="1"/>
      <color rgb="FF666680"/>
      <sz val="11"/>
    </font>
    <font>
      <name val="Arial"/>
      <charset val="1"/>
      <family val="0"/>
      <b val="1"/>
      <color rgb="FFF59E0B"/>
      <sz val="10"/>
    </font>
    <font>
      <name val="Arial"/>
      <charset val="1"/>
      <family val="0"/>
      <b val="1"/>
      <color rgb="FFF59E0B"/>
      <sz val="9"/>
    </font>
    <font>
      <name val="Arial"/>
      <charset val="1"/>
      <family val="0"/>
      <b val="1"/>
      <color rgb="FFF43F5E"/>
      <sz val="10"/>
    </font>
    <font>
      <name val="Arial"/>
      <charset val="1"/>
      <family val="0"/>
      <b val="1"/>
      <color rgb="FFF43F5E"/>
      <sz val="9"/>
    </font>
    <font>
      <name val="Arial"/>
      <charset val="1"/>
      <family val="0"/>
      <color rgb="FF666680"/>
      <sz val="10"/>
    </font>
    <font>
      <name val="Arial"/>
      <charset val="1"/>
      <family val="0"/>
      <b val="1"/>
      <color rgb="FF06B6D4"/>
      <sz val="10"/>
    </font>
  </fonts>
  <fills count="7">
    <fill>
      <patternFill/>
    </fill>
    <fill>
      <patternFill patternType="gray125"/>
    </fill>
    <fill>
      <patternFill patternType="solid">
        <fgColor rgb="FF0D0D14"/>
        <bgColor rgb="FF12121C"/>
      </patternFill>
    </fill>
    <fill>
      <patternFill patternType="solid">
        <fgColor rgb="FF12121C"/>
        <bgColor rgb="FF0D0D14"/>
      </patternFill>
    </fill>
    <fill>
      <patternFill patternType="solid">
        <fgColor rgb="FF17172A"/>
        <bgColor rgb="FF1A1A28"/>
      </patternFill>
    </fill>
    <fill>
      <patternFill patternType="solid">
        <fgColor rgb="FF1A1A28"/>
        <bgColor rgb="FF17172A"/>
      </patternFill>
    </fill>
    <fill>
      <patternFill patternType="solid">
        <fgColor rgb="FF252538"/>
        <bgColor rgb="FF1A1A2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33333"/>
      </bottom>
      <diagonal/>
    </border>
    <border>
      <left/>
      <right/>
      <top/>
      <bottom style="thin">
        <color rgb="FFDDDD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165" fontId="9" fillId="3" borderId="0" applyAlignment="1" pivotButton="0" quotePrefix="0" xfId="0">
      <alignment horizontal="center" vertical="center"/>
    </xf>
    <xf numFmtId="1" fontId="10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left" vertical="center"/>
    </xf>
    <xf numFmtId="164" fontId="15" fillId="4" borderId="2" applyAlignment="1" pivotButton="0" quotePrefix="0" xfId="0">
      <alignment horizontal="center" vertical="center"/>
    </xf>
    <xf numFmtId="164" fontId="16" fillId="4" borderId="2" applyAlignment="1" pivotButton="0" quotePrefix="0" xfId="0">
      <alignment horizontal="center" vertical="center"/>
    </xf>
    <xf numFmtId="165" fontId="17" fillId="4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4" fillId="5" borderId="2" applyAlignment="1" pivotButton="0" quotePrefix="0" xfId="0">
      <alignment horizontal="left" vertical="center"/>
    </xf>
    <xf numFmtId="164" fontId="15" fillId="5" borderId="2" applyAlignment="1" pivotButton="0" quotePrefix="0" xfId="0">
      <alignment horizontal="center" vertical="center"/>
    </xf>
    <xf numFmtId="164" fontId="16" fillId="5" borderId="2" applyAlignment="1" pivotButton="0" quotePrefix="0" xfId="0">
      <alignment horizontal="center" vertical="center"/>
    </xf>
    <xf numFmtId="165" fontId="17" fillId="5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18" fillId="5" borderId="2" applyAlignment="1" pivotButton="0" quotePrefix="0" xfId="0">
      <alignment horizontal="center" vertical="center"/>
    </xf>
    <xf numFmtId="0" fontId="19" fillId="4" borderId="2" applyAlignment="1" pivotButton="0" quotePrefix="0" xfId="0">
      <alignment horizontal="center" vertical="center"/>
    </xf>
    <xf numFmtId="0" fontId="20" fillId="5" borderId="0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165" fontId="21" fillId="5" borderId="2" applyAlignment="1" pivotButton="0" quotePrefix="0" xfId="0">
      <alignment horizontal="center" vertical="center"/>
    </xf>
    <xf numFmtId="0" fontId="22" fillId="5" borderId="2" applyAlignment="1" pivotButton="0" quotePrefix="0" xfId="0">
      <alignment horizontal="center" vertical="center"/>
    </xf>
    <xf numFmtId="165" fontId="23" fillId="4" borderId="2" applyAlignment="1" pivotButton="0" quotePrefix="0" xfId="0">
      <alignment horizontal="center" vertical="center"/>
    </xf>
    <xf numFmtId="0" fontId="24" fillId="4" borderId="2" applyAlignment="1" pivotButton="0" quotePrefix="0" xfId="0">
      <alignment horizontal="center" vertical="center"/>
    </xf>
    <xf numFmtId="165" fontId="23" fillId="5" borderId="2" applyAlignment="1" pivotButton="0" quotePrefix="0" xfId="0">
      <alignment horizontal="center" vertical="center"/>
    </xf>
    <xf numFmtId="0" fontId="24" fillId="5" borderId="2" applyAlignment="1" pivotButton="0" quotePrefix="0" xfId="0">
      <alignment horizontal="center" vertical="center"/>
    </xf>
    <xf numFmtId="0" fontId="25" fillId="4" borderId="0" applyAlignment="1" pivotButton="0" quotePrefix="0" xfId="0">
      <alignment horizontal="center" vertical="center"/>
    </xf>
    <xf numFmtId="165" fontId="16" fillId="4" borderId="2" applyAlignment="1" pivotButton="0" quotePrefix="0" xfId="0">
      <alignment horizontal="center" vertical="center"/>
    </xf>
    <xf numFmtId="0" fontId="25" fillId="5" borderId="0" applyAlignment="1" pivotButton="0" quotePrefix="0" xfId="0">
      <alignment horizontal="center" vertical="center"/>
    </xf>
    <xf numFmtId="165" fontId="16" fillId="5" borderId="2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6" fillId="4" borderId="2" applyAlignment="1" pivotButton="0" quotePrefix="0" xfId="0">
      <alignment horizontal="left" vertical="center"/>
    </xf>
    <xf numFmtId="0" fontId="21" fillId="4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left" vertical="center"/>
    </xf>
    <xf numFmtId="0" fontId="21" fillId="5" borderId="2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/>
    </xf>
    <xf numFmtId="164" fontId="26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165" fontId="9" fillId="3" borderId="0" applyAlignment="1" pivotButton="0" quotePrefix="0" xfId="0">
      <alignment horizontal="center" vertical="center"/>
    </xf>
    <xf numFmtId="1" fontId="10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left" vertical="center"/>
    </xf>
    <xf numFmtId="164" fontId="15" fillId="4" borderId="2" applyAlignment="1" pivotButton="0" quotePrefix="0" xfId="0">
      <alignment horizontal="center" vertical="center"/>
    </xf>
    <xf numFmtId="164" fontId="16" fillId="4" borderId="2" applyAlignment="1" pivotButton="0" quotePrefix="0" xfId="0">
      <alignment horizontal="center" vertical="center"/>
    </xf>
    <xf numFmtId="165" fontId="17" fillId="4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4" fillId="5" borderId="2" applyAlignment="1" pivotButton="0" quotePrefix="0" xfId="0">
      <alignment horizontal="left" vertical="center"/>
    </xf>
    <xf numFmtId="164" fontId="15" fillId="5" borderId="2" applyAlignment="1" pivotButton="0" quotePrefix="0" xfId="0">
      <alignment horizontal="center" vertical="center"/>
    </xf>
    <xf numFmtId="164" fontId="16" fillId="5" borderId="2" applyAlignment="1" pivotButton="0" quotePrefix="0" xfId="0">
      <alignment horizontal="center" vertical="center"/>
    </xf>
    <xf numFmtId="165" fontId="17" fillId="5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18" fillId="5" borderId="2" applyAlignment="1" pivotButton="0" quotePrefix="0" xfId="0">
      <alignment horizontal="center" vertical="center"/>
    </xf>
    <xf numFmtId="0" fontId="19" fillId="4" borderId="2" applyAlignment="1" pivotButton="0" quotePrefix="0" xfId="0">
      <alignment horizontal="center" vertical="center"/>
    </xf>
    <xf numFmtId="0" fontId="20" fillId="5" borderId="0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165" fontId="21" fillId="5" borderId="2" applyAlignment="1" pivotButton="0" quotePrefix="0" xfId="0">
      <alignment horizontal="center" vertical="center"/>
    </xf>
    <xf numFmtId="0" fontId="22" fillId="5" borderId="2" applyAlignment="1" pivotButton="0" quotePrefix="0" xfId="0">
      <alignment horizontal="center" vertical="center"/>
    </xf>
    <xf numFmtId="165" fontId="23" fillId="4" borderId="2" applyAlignment="1" pivotButton="0" quotePrefix="0" xfId="0">
      <alignment horizontal="center" vertical="center"/>
    </xf>
    <xf numFmtId="0" fontId="24" fillId="4" borderId="2" applyAlignment="1" pivotButton="0" quotePrefix="0" xfId="0">
      <alignment horizontal="center" vertical="center"/>
    </xf>
    <xf numFmtId="165" fontId="23" fillId="5" borderId="2" applyAlignment="1" pivotButton="0" quotePrefix="0" xfId="0">
      <alignment horizontal="center" vertical="center"/>
    </xf>
    <xf numFmtId="0" fontId="24" fillId="5" borderId="2" applyAlignment="1" pivotButton="0" quotePrefix="0" xfId="0">
      <alignment horizontal="center" vertical="center"/>
    </xf>
    <xf numFmtId="0" fontId="25" fillId="4" borderId="0" applyAlignment="1" pivotButton="0" quotePrefix="0" xfId="0">
      <alignment horizontal="center" vertical="center"/>
    </xf>
    <xf numFmtId="165" fontId="16" fillId="4" borderId="2" applyAlignment="1" pivotButton="0" quotePrefix="0" xfId="0">
      <alignment horizontal="center" vertical="center"/>
    </xf>
    <xf numFmtId="0" fontId="25" fillId="5" borderId="0" applyAlignment="1" pivotButton="0" quotePrefix="0" xfId="0">
      <alignment horizontal="center" vertical="center"/>
    </xf>
    <xf numFmtId="165" fontId="16" fillId="5" borderId="2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6" fillId="4" borderId="2" applyAlignment="1" pivotButton="0" quotePrefix="0" xfId="0">
      <alignment horizontal="left" vertical="center"/>
    </xf>
    <xf numFmtId="0" fontId="21" fillId="4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left" vertical="center"/>
    </xf>
    <xf numFmtId="0" fontId="21" fillId="5" borderId="2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/>
    </xf>
    <xf numFmtId="164" fontId="26" fillId="6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2121C"/>
      <rgbColor rgb="FF808000"/>
      <rgbColor rgb="FF800080"/>
      <rgbColor rgb="FF008080"/>
      <rgbColor rgb="FFC0C0C0"/>
      <rgbColor rgb="FF888899"/>
      <rgbColor rgb="FFA78BFA"/>
      <rgbColor rgb="FF7C3AED"/>
      <rgbColor rgb="FFFFFFCC"/>
      <rgbColor rgb="FFCCFFFF"/>
      <rgbColor rgb="FF660066"/>
      <rgbColor rgb="FFFF8080"/>
      <rgbColor rgb="FF0066CC"/>
      <rgbColor rgb="FFDDDDEE"/>
      <rgbColor rgb="FF0D0D14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43F5E"/>
      <rgbColor rgb="FF666680"/>
      <rgbColor rgb="FF969696"/>
      <rgbColor rgb="FF17172A"/>
      <rgbColor rgb="FF10B981"/>
      <rgbColor rgb="FF1A1A28"/>
      <rgbColor rgb="FF252538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5" min="1" max="1"/>
    <col width="18" customWidth="1" style="45" min="2" max="2"/>
    <col width="16" customWidth="1" style="45" min="3" max="3"/>
    <col width="12" customWidth="1" style="45" min="4" max="7"/>
    <col width="18" customWidth="1" style="45" min="8" max="8"/>
    <col width="13" customWidth="1" style="45" min="9" max="9"/>
    <col width="20" customWidth="1" style="45" min="10" max="10"/>
    <col width="13" customWidth="1" style="45" min="11" max="11"/>
    <col width="26" customWidth="1" style="45" min="12" max="12"/>
  </cols>
  <sheetData>
    <row r="1" ht="33.75" customHeight="1" s="46">
      <c r="A1" s="47" t="inlineStr">
        <is>
          <t>SALES PERFORMANCE SCORECARD — MEC · TEMPLATE</t>
        </is>
      </c>
    </row>
    <row r="2" ht="18" customHeight="1" s="46">
      <c r="A2" s="48" t="inlineStr">
        <is>
          <t>Mason E. Cunningham (MEC)  ·  Portfolio Project  ·  Enter data in BLUE cells — all formulas calculate automatically</t>
        </is>
      </c>
    </row>
    <row r="3" ht="7.5" customHeight="1" s="46"/>
    <row r="4" ht="18" customHeight="1" s="46">
      <c r="A4" s="49" t="inlineStr">
        <is>
          <t>Team Annual Quota</t>
        </is>
      </c>
      <c r="D4" s="49" t="inlineStr">
        <is>
          <t>Team Annual Revenue</t>
        </is>
      </c>
      <c r="G4" s="49" t="inlineStr">
        <is>
          <t>Team Attainment</t>
        </is>
      </c>
      <c r="J4" s="49" t="inlineStr">
        <is>
          <t>Reps at Quota (100%+)</t>
        </is>
      </c>
    </row>
    <row r="5" ht="27.75" customHeight="1" s="46">
      <c r="A5" s="50">
        <f>SUM(C11:C110)</f>
        <v/>
      </c>
      <c r="D5" s="51">
        <f>SUM(H11:H110)</f>
        <v/>
      </c>
      <c r="G5" s="52">
        <f>IFERROR(SUM(H11:H110)/SUM(C11:C110),0)</f>
        <v/>
      </c>
      <c r="J5" s="53">
        <f>COUNTIF(I11:I110,"&gt;="&amp;1)</f>
        <v/>
      </c>
    </row>
    <row r="6" ht="7.5" customHeight="1" s="46"/>
    <row r="7" ht="7.5" customHeight="1" s="46"/>
    <row r="8" ht="6" customHeight="1" s="46"/>
    <row r="9" ht="13.5" customHeight="1" s="46">
      <c r="A9" s="54" t="inlineStr">
        <is>
          <t>← Enter data in columns A–G (Rep, Quota, Q1, Q2, Q3, Q4)  |  Columns H–L calculate automatically</t>
        </is>
      </c>
    </row>
    <row r="10" ht="7.5" customHeight="1" s="46"/>
    <row r="11" ht="30" customHeight="1" s="46">
      <c r="A11" s="55" t="inlineStr">
        <is>
          <t>#</t>
        </is>
      </c>
      <c r="B11" s="55" t="inlineStr">
        <is>
          <t>Rep Name</t>
        </is>
      </c>
      <c r="C11" s="55" t="inlineStr">
        <is>
          <t>Annual Quota ($)</t>
        </is>
      </c>
      <c r="D11" s="55" t="inlineStr">
        <is>
          <t>Q1 ($)</t>
        </is>
      </c>
      <c r="E11" s="55" t="inlineStr">
        <is>
          <t>Q2 ($)</t>
        </is>
      </c>
      <c r="F11" s="55" t="inlineStr">
        <is>
          <t>Q3 ($)</t>
        </is>
      </c>
      <c r="G11" s="55" t="inlineStr">
        <is>
          <t>Q4 ($)</t>
        </is>
      </c>
      <c r="H11" s="55" t="inlineStr">
        <is>
          <t>Annual Revenue ($)</t>
        </is>
      </c>
      <c r="I11" s="55" t="inlineStr">
        <is>
          <t>Attainment</t>
        </is>
      </c>
      <c r="J11" s="55" t="inlineStr">
        <is>
          <t>QoQ Trend (Q3→Q4)</t>
        </is>
      </c>
      <c r="K11" s="55" t="inlineStr">
        <is>
          <t>Rank (RANK)</t>
        </is>
      </c>
      <c r="L11" s="55" t="inlineStr">
        <is>
          <t>Performance Label (Nested IF)</t>
        </is>
      </c>
    </row>
    <row r="12" ht="21.75" customHeight="1" s="46">
      <c r="A12" s="56">
        <f>IF(B12&lt;&gt;"",ROW()-11,"")</f>
        <v/>
      </c>
      <c r="B12" s="57" t="inlineStr">
        <is>
          <t>Nadia Okonkwo</t>
        </is>
      </c>
      <c r="C12" s="58" t="n">
        <v>410000</v>
      </c>
      <c r="D12" s="58" t="n">
        <v>116200</v>
      </c>
      <c r="E12" s="58" t="n">
        <v>128400</v>
      </c>
      <c r="F12" s="58" t="n">
        <v>138600</v>
      </c>
      <c r="G12" s="58" t="n">
        <v>152800</v>
      </c>
      <c r="H12" s="59">
        <f>IF(B12="","",D12+E12+F12+G12)</f>
        <v/>
      </c>
      <c r="I12" s="60">
        <f>IFERROR(IF(B12="","",H12/C12),"")</f>
        <v/>
      </c>
      <c r="J12" s="61">
        <f>IF(B12="","",IF(G12&gt;F12,"▲ "&amp;TEXT((G12-F12)/F12,"0.0%"),"▼ "&amp;TEXT((F12-G12)/F12,"0.0%")))</f>
        <v/>
      </c>
      <c r="K12" s="61">
        <f>IFERROR(IF(B12="","",RANK(H12,H$12:H$111,0)),"")</f>
        <v/>
      </c>
      <c r="L12" s="62">
        <f>IF(B12="","",IF(I12&gt;=1.2,"⭐ Star Performer",IF(I12&gt;=1,"✅ At Quota",IF(I12&gt;=0.8,"⚠️ Needs Improvement","🔴 At Risk"))))</f>
        <v/>
      </c>
    </row>
    <row r="13" ht="21.75" customHeight="1" s="46">
      <c r="A13" s="63">
        <f>IF(B13&lt;&gt;"",ROW()-11,"")</f>
        <v/>
      </c>
      <c r="B13" s="64" t="inlineStr">
        <is>
          <t>Priya Patel</t>
        </is>
      </c>
      <c r="C13" s="65" t="n">
        <v>410000</v>
      </c>
      <c r="D13" s="65" t="n">
        <v>104800</v>
      </c>
      <c r="E13" s="65" t="n">
        <v>118600</v>
      </c>
      <c r="F13" s="65" t="n">
        <v>128400</v>
      </c>
      <c r="G13" s="65" t="n">
        <v>142200</v>
      </c>
      <c r="H13" s="66">
        <f>IF(B13="","",D13+E13+F13+G13)</f>
        <v/>
      </c>
      <c r="I13" s="67">
        <f>IFERROR(IF(B13="","",H13/C13),"")</f>
        <v/>
      </c>
      <c r="J13" s="68">
        <f>IF(B13="","",IF(G13&gt;F13,"▲ "&amp;TEXT((G13-F13)/F13,"0.0%"),"▼ "&amp;TEXT((F13-G13)/F13,"0.0%")))</f>
        <v/>
      </c>
      <c r="K13" s="68">
        <f>IFERROR(IF(B13="","",RANK(H13,H$12:H$111,0)),"")</f>
        <v/>
      </c>
      <c r="L13" s="69">
        <f>IF(B13="","",IF(I13&gt;=1.2,"⭐ Star Performer",IF(I13&gt;=1,"✅ At Quota",IF(I13&gt;=0.8,"⚠️ Needs Improvement","🔴 At Risk"))))</f>
        <v/>
      </c>
    </row>
    <row r="14" ht="21.75" customHeight="1" s="46">
      <c r="A14" s="56">
        <f>IF(B14&lt;&gt;"",ROW()-11,"")</f>
        <v/>
      </c>
      <c r="B14" s="57" t="inlineStr">
        <is>
          <t>Jordan Kim</t>
        </is>
      </c>
      <c r="C14" s="58" t="n">
        <v>420000</v>
      </c>
      <c r="D14" s="58" t="n">
        <v>98400</v>
      </c>
      <c r="E14" s="58" t="n">
        <v>114200</v>
      </c>
      <c r="F14" s="58" t="n">
        <v>122800</v>
      </c>
      <c r="G14" s="58" t="n">
        <v>131600</v>
      </c>
      <c r="H14" s="59">
        <f>IF(B14="","",D14+E14+F14+G14)</f>
        <v/>
      </c>
      <c r="I14" s="60">
        <f>IFERROR(IF(B14="","",H14/C14),"")</f>
        <v/>
      </c>
      <c r="J14" s="61">
        <f>IF(B14="","",IF(G14&gt;F14,"▲ "&amp;TEXT((G14-F14)/F14,"0.0%"),"▼ "&amp;TEXT((F14-G14)/F14,"0.0%")))</f>
        <v/>
      </c>
      <c r="K14" s="61">
        <f>IFERROR(IF(B14="","",RANK(H14,H$12:H$111,0)),"")</f>
        <v/>
      </c>
      <c r="L14" s="70">
        <f>IF(B14="","",IF(I14&gt;=1.2,"⭐ Star Performer",IF(I14&gt;=1,"✅ At Quota",IF(I14&gt;=0.8,"⚠️ Needs Improvement","🔴 At Risk"))))</f>
        <v/>
      </c>
    </row>
    <row r="15" ht="21.75" customHeight="1" s="46">
      <c r="A15" s="71">
        <f>IF(B15&lt;&gt;"",ROW()-11,"")</f>
        <v/>
      </c>
      <c r="B15" s="64" t="inlineStr">
        <is>
          <t>Samantha Lee</t>
        </is>
      </c>
      <c r="C15" s="65" t="n">
        <v>420000</v>
      </c>
      <c r="D15" s="65" t="n">
        <v>92600</v>
      </c>
      <c r="E15" s="65" t="n">
        <v>106800</v>
      </c>
      <c r="F15" s="65" t="n">
        <v>114200</v>
      </c>
      <c r="G15" s="65" t="n">
        <v>122400</v>
      </c>
      <c r="H15" s="66">
        <f>IF(B15="","",D15+E15+F15+G15)</f>
        <v/>
      </c>
      <c r="I15" s="67">
        <f>IFERROR(IF(B15="","",H15/C15),"")</f>
        <v/>
      </c>
      <c r="J15" s="68">
        <f>IF(B15="","",IF(G15&gt;F15,"▲ "&amp;TEXT((G15-F15)/F15,"0.0%"),"▼ "&amp;TEXT((F15-G15)/F15,"0.0%")))</f>
        <v/>
      </c>
      <c r="K15" s="68">
        <f>IFERROR(IF(B15="","",RANK(H15,H$12:H$111,0)),"")</f>
        <v/>
      </c>
      <c r="L15" s="72">
        <f>IF(B15="","",IF(I15&gt;=1.2,"⭐ Star Performer",IF(I15&gt;=1,"✅ At Quota",IF(I15&gt;=0.8,"⚠️ Needs Improvement","🔴 At Risk"))))</f>
        <v/>
      </c>
    </row>
    <row r="16" ht="21.75" customHeight="1" s="46">
      <c r="A16" s="73">
        <f>IF(B16&lt;&gt;"",ROW()-11,"")</f>
        <v/>
      </c>
      <c r="B16" s="57" t="inlineStr">
        <is>
          <t>Alexis Chen</t>
        </is>
      </c>
      <c r="C16" s="58" t="n">
        <v>400000</v>
      </c>
      <c r="D16" s="58" t="n">
        <v>88200</v>
      </c>
      <c r="E16" s="58" t="n">
        <v>102400</v>
      </c>
      <c r="F16" s="58" t="n">
        <v>118600</v>
      </c>
      <c r="G16" s="58" t="n">
        <v>109800</v>
      </c>
      <c r="H16" s="59">
        <f>IF(B16="","",D16+E16+F16+G16)</f>
        <v/>
      </c>
      <c r="I16" s="60">
        <f>IFERROR(IF(B16="","",H16/C16),"")</f>
        <v/>
      </c>
      <c r="J16" s="61">
        <f>IF(B16="","",IF(G16&gt;F16,"▲ "&amp;TEXT((G16-F16)/F16,"0.0%"),"▼ "&amp;TEXT((F16-G16)/F16,"0.0%")))</f>
        <v/>
      </c>
      <c r="K16" s="61">
        <f>IFERROR(IF(B16="","",RANK(H16,H$12:H$111,0)),"")</f>
        <v/>
      </c>
      <c r="L16" s="70">
        <f>IF(B16="","",IF(I16&gt;=1.2,"⭐ Star Performer",IF(I16&gt;=1,"✅ At Quota",IF(I16&gt;=0.8,"⚠️ Needs Improvement","🔴 At Risk"))))</f>
        <v/>
      </c>
    </row>
    <row r="17" ht="21.75" customHeight="1" s="46">
      <c r="A17" s="71">
        <f>IF(B17&lt;&gt;"",ROW()-11,"")</f>
        <v/>
      </c>
      <c r="B17" s="64" t="inlineStr">
        <is>
          <t>Marcus Webb</t>
        </is>
      </c>
      <c r="C17" s="65" t="n">
        <v>390000</v>
      </c>
      <c r="D17" s="65" t="n">
        <v>72100</v>
      </c>
      <c r="E17" s="65" t="n">
        <v>89300</v>
      </c>
      <c r="F17" s="65" t="n">
        <v>96400</v>
      </c>
      <c r="G17" s="65" t="n">
        <v>104200</v>
      </c>
      <c r="H17" s="66">
        <f>IF(B17="","",D17+E17+F17+G17)</f>
        <v/>
      </c>
      <c r="I17" s="74">
        <f>IFERROR(IF(B17="","",H17/C17),"")</f>
        <v/>
      </c>
      <c r="J17" s="68">
        <f>IF(B17="","",IF(G17&gt;F17,"▲ "&amp;TEXT((G17-F17)/F17,"0.0%"),"▼ "&amp;TEXT((F17-G17)/F17,"0.0%")))</f>
        <v/>
      </c>
      <c r="K17" s="68">
        <f>IFERROR(IF(B17="","",RANK(H17,H$12:H$111,0)),"")</f>
        <v/>
      </c>
      <c r="L17" s="75">
        <f>IF(B17="","",IF(I17&gt;=1.2,"⭐ Star Performer",IF(I17&gt;=1,"✅ At Quota",IF(I17&gt;=0.8,"⚠️ Needs Improvement","🔴 At Risk"))))</f>
        <v/>
      </c>
    </row>
    <row r="18" ht="21.75" customHeight="1" s="46">
      <c r="A18" s="73">
        <f>IF(B18&lt;&gt;"",ROW()-11,"")</f>
        <v/>
      </c>
      <c r="B18" s="57" t="inlineStr">
        <is>
          <t>Devon Ross</t>
        </is>
      </c>
      <c r="C18" s="58" t="n">
        <v>380000</v>
      </c>
      <c r="D18" s="58" t="n">
        <v>62400</v>
      </c>
      <c r="E18" s="58" t="n">
        <v>71200</v>
      </c>
      <c r="F18" s="58" t="n">
        <v>68800</v>
      </c>
      <c r="G18" s="58" t="n">
        <v>74100</v>
      </c>
      <c r="H18" s="59">
        <f>IF(B18="","",D18+E18+F18+G18)</f>
        <v/>
      </c>
      <c r="I18" s="76">
        <f>IFERROR(IF(B18="","",H18/C18),"")</f>
        <v/>
      </c>
      <c r="J18" s="61">
        <f>IF(B18="","",IF(G18&gt;F18,"▲ "&amp;TEXT((G18-F18)/F18,"0.0%"),"▼ "&amp;TEXT((F18-G18)/F18,"0.0%")))</f>
        <v/>
      </c>
      <c r="K18" s="61">
        <f>IFERROR(IF(B18="","",RANK(H18,H$12:H$111,0)),"")</f>
        <v/>
      </c>
      <c r="L18" s="77">
        <f>IF(B18="","",IF(I18&gt;=1.2,"⭐ Star Performer",IF(I18&gt;=1,"✅ At Quota",IF(I18&gt;=0.8,"⚠️ Needs Improvement","🔴 At Risk"))))</f>
        <v/>
      </c>
    </row>
    <row r="19" ht="21.75" customHeight="1" s="46">
      <c r="A19" s="71">
        <f>IF(B19&lt;&gt;"",ROW()-11,"")</f>
        <v/>
      </c>
      <c r="B19" s="64" t="inlineStr">
        <is>
          <t>Tyler Brooks</t>
        </is>
      </c>
      <c r="C19" s="65" t="n">
        <v>370000</v>
      </c>
      <c r="D19" s="65" t="n">
        <v>48200</v>
      </c>
      <c r="E19" s="65" t="n">
        <v>56400</v>
      </c>
      <c r="F19" s="65" t="n">
        <v>61800</v>
      </c>
      <c r="G19" s="65" t="n">
        <v>67200</v>
      </c>
      <c r="H19" s="66">
        <f>IF(B19="","",D19+E19+F19+G19)</f>
        <v/>
      </c>
      <c r="I19" s="78">
        <f>IFERROR(IF(B19="","",H19/C19),"")</f>
        <v/>
      </c>
      <c r="J19" s="68">
        <f>IF(B19="","",IF(G19&gt;F19,"▲ "&amp;TEXT((G19-F19)/F19,"0.0%"),"▼ "&amp;TEXT((F19-G19)/F19,"0.0%")))</f>
        <v/>
      </c>
      <c r="K19" s="68">
        <f>IFERROR(IF(B19="","",RANK(H19,H$12:H$111,0)),"")</f>
        <v/>
      </c>
      <c r="L19" s="79">
        <f>IF(B19="","",IF(I19&gt;=1.2,"⭐ Star Performer",IF(I19&gt;=1,"✅ At Quota",IF(I19&gt;=0.8,"⚠️ Needs Improvement","🔴 At Risk"))))</f>
        <v/>
      </c>
    </row>
    <row r="20" ht="21.75" customHeight="1" s="46">
      <c r="A20" s="80">
        <f>IF(B20&lt;&gt;"",ROW()-11,"")</f>
        <v/>
      </c>
      <c r="B20" s="57" t="n"/>
      <c r="C20" s="58" t="n"/>
      <c r="D20" s="58" t="n"/>
      <c r="E20" s="58" t="n"/>
      <c r="F20" s="58" t="n"/>
      <c r="G20" s="58" t="n"/>
      <c r="H20" s="59">
        <f>IF(B20="","",D20+E20+F20+G20)</f>
        <v/>
      </c>
      <c r="I20" s="81">
        <f>IFERROR(IF(B20="","",H20/C20),"")</f>
        <v/>
      </c>
      <c r="J20" s="61">
        <f>IF(B20="","",IF(G20&gt;F20,"▲ "&amp;TEXT((G20-F20)/F20,"0.0%"),"▼ "&amp;TEXT((F20-G20)/F20,"0.0%")))</f>
        <v/>
      </c>
      <c r="K20" s="61">
        <f>IFERROR(IF(B20="","",RANK(H20,H$12:H$111,0)),"")</f>
        <v/>
      </c>
      <c r="L20" s="61">
        <f>IF(B20="","",IF(I20&gt;=1.2,"⭐ Star Performer",IF(I20&gt;=1,"✅ At Quota",IF(I20&gt;=0.8,"⚠️ Needs Improvement","🔴 At Risk"))))</f>
        <v/>
      </c>
    </row>
    <row r="21" ht="21.75" customHeight="1" s="46">
      <c r="A21" s="82">
        <f>IF(B21&lt;&gt;"",ROW()-11,"")</f>
        <v/>
      </c>
      <c r="B21" s="64" t="n"/>
      <c r="C21" s="65" t="n"/>
      <c r="D21" s="65" t="n"/>
      <c r="E21" s="65" t="n"/>
      <c r="F21" s="65" t="n"/>
      <c r="G21" s="65" t="n"/>
      <c r="H21" s="66">
        <f>IF(B21="","",D21+E21+F21+G21)</f>
        <v/>
      </c>
      <c r="I21" s="83">
        <f>IFERROR(IF(B21="","",H21/C21),"")</f>
        <v/>
      </c>
      <c r="J21" s="68">
        <f>IF(B21="","",IF(G21&gt;F21,"▲ "&amp;TEXT((G21-F21)/F21,"0.0%"),"▼ "&amp;TEXT((F21-G21)/F21,"0.0%")))</f>
        <v/>
      </c>
      <c r="K21" s="68">
        <f>IFERROR(IF(B21="","",RANK(H21,H$12:H$111,0)),"")</f>
        <v/>
      </c>
      <c r="L21" s="68">
        <f>IF(B21="","",IF(I21&gt;=1.2,"⭐ Star Performer",IF(I21&gt;=1,"✅ At Quota",IF(I21&gt;=0.8,"⚠️ Needs Improvement","🔴 At Risk"))))</f>
        <v/>
      </c>
    </row>
    <row r="22" ht="21.75" customHeight="1" s="46">
      <c r="A22" s="80">
        <f>IF(B22&lt;&gt;"",ROW()-11,"")</f>
        <v/>
      </c>
      <c r="B22" s="57" t="n"/>
      <c r="C22" s="58" t="n"/>
      <c r="D22" s="58" t="n"/>
      <c r="E22" s="58" t="n"/>
      <c r="F22" s="58" t="n"/>
      <c r="G22" s="58" t="n"/>
      <c r="H22" s="59">
        <f>IF(B22="","",D22+E22+F22+G22)</f>
        <v/>
      </c>
      <c r="I22" s="81">
        <f>IFERROR(IF(B22="","",H22/C22),"")</f>
        <v/>
      </c>
      <c r="J22" s="61">
        <f>IF(B22="","",IF(G22&gt;F22,"▲ "&amp;TEXT((G22-F22)/F22,"0.0%"),"▼ "&amp;TEXT((F22-G22)/F22,"0.0%")))</f>
        <v/>
      </c>
      <c r="K22" s="61">
        <f>IFERROR(IF(B22="","",RANK(H22,H$12:H$111,0)),"")</f>
        <v/>
      </c>
      <c r="L22" s="61">
        <f>IF(B22="","",IF(I22&gt;=1.2,"⭐ Star Performer",IF(I22&gt;=1,"✅ At Quota",IF(I22&gt;=0.8,"⚠️ Needs Improvement","🔴 At Risk"))))</f>
        <v/>
      </c>
    </row>
    <row r="23" ht="21.75" customHeight="1" s="46">
      <c r="A23" s="82">
        <f>IF(B23&lt;&gt;"",ROW()-11,"")</f>
        <v/>
      </c>
      <c r="B23" s="64" t="n"/>
      <c r="C23" s="65" t="n"/>
      <c r="D23" s="65" t="n"/>
      <c r="E23" s="65" t="n"/>
      <c r="F23" s="65" t="n"/>
      <c r="G23" s="65" t="n"/>
      <c r="H23" s="66">
        <f>IF(B23="","",D23+E23+F23+G23)</f>
        <v/>
      </c>
      <c r="I23" s="83">
        <f>IFERROR(IF(B23="","",H23/C23),"")</f>
        <v/>
      </c>
      <c r="J23" s="68">
        <f>IF(B23="","",IF(G23&gt;F23,"▲ "&amp;TEXT((G23-F23)/F23,"0.0%"),"▼ "&amp;TEXT((F23-G23)/F23,"0.0%")))</f>
        <v/>
      </c>
      <c r="K23" s="68">
        <f>IFERROR(IF(B23="","",RANK(H23,H$12:H$111,0)),"")</f>
        <v/>
      </c>
      <c r="L23" s="68">
        <f>IF(B23="","",IF(I23&gt;=1.2,"⭐ Star Performer",IF(I23&gt;=1,"✅ At Quota",IF(I23&gt;=0.8,"⚠️ Needs Improvement","🔴 At Risk"))))</f>
        <v/>
      </c>
    </row>
    <row r="24" ht="21.75" customHeight="1" s="46">
      <c r="A24" s="80">
        <f>IF(B24&lt;&gt;"",ROW()-11,"")</f>
        <v/>
      </c>
      <c r="B24" s="57" t="n"/>
      <c r="C24" s="58" t="n"/>
      <c r="D24" s="58" t="n"/>
      <c r="E24" s="58" t="n"/>
      <c r="F24" s="58" t="n"/>
      <c r="G24" s="58" t="n"/>
      <c r="H24" s="59">
        <f>IF(B24="","",D24+E24+F24+G24)</f>
        <v/>
      </c>
      <c r="I24" s="81">
        <f>IFERROR(IF(B24="","",H24/C24),"")</f>
        <v/>
      </c>
      <c r="J24" s="61">
        <f>IF(B24="","",IF(G24&gt;F24,"▲ "&amp;TEXT((G24-F24)/F24,"0.0%"),"▼ "&amp;TEXT((F24-G24)/F24,"0.0%")))</f>
        <v/>
      </c>
      <c r="K24" s="61">
        <f>IFERROR(IF(B24="","",RANK(H24,H$12:H$111,0)),"")</f>
        <v/>
      </c>
      <c r="L24" s="61">
        <f>IF(B24="","",IF(I24&gt;=1.2,"⭐ Star Performer",IF(I24&gt;=1,"✅ At Quota",IF(I24&gt;=0.8,"⚠️ Needs Improvement","🔴 At Risk"))))</f>
        <v/>
      </c>
    </row>
    <row r="25" ht="21.75" customHeight="1" s="46">
      <c r="A25" s="82">
        <f>IF(B25&lt;&gt;"",ROW()-11,"")</f>
        <v/>
      </c>
      <c r="B25" s="64" t="n"/>
      <c r="C25" s="65" t="n"/>
      <c r="D25" s="65" t="n"/>
      <c r="E25" s="65" t="n"/>
      <c r="F25" s="65" t="n"/>
      <c r="G25" s="65" t="n"/>
      <c r="H25" s="66">
        <f>IF(B25="","",D25+E25+F25+G25)</f>
        <v/>
      </c>
      <c r="I25" s="83">
        <f>IFERROR(IF(B25="","",H25/C25),"")</f>
        <v/>
      </c>
      <c r="J25" s="68">
        <f>IF(B25="","",IF(G25&gt;F25,"▲ "&amp;TEXT((G25-F25)/F25,"0.0%"),"▼ "&amp;TEXT((F25-G25)/F25,"0.0%")))</f>
        <v/>
      </c>
      <c r="K25" s="68">
        <f>IFERROR(IF(B25="","",RANK(H25,H$12:H$111,0)),"")</f>
        <v/>
      </c>
      <c r="L25" s="68">
        <f>IF(B25="","",IF(I25&gt;=1.2,"⭐ Star Performer",IF(I25&gt;=1,"✅ At Quota",IF(I25&gt;=0.8,"⚠️ Needs Improvement","🔴 At Risk"))))</f>
        <v/>
      </c>
    </row>
    <row r="26" ht="21.75" customHeight="1" s="46">
      <c r="A26" s="80">
        <f>IF(B26&lt;&gt;"",ROW()-11,"")</f>
        <v/>
      </c>
      <c r="B26" s="57" t="n"/>
      <c r="C26" s="58" t="n"/>
      <c r="D26" s="58" t="n"/>
      <c r="E26" s="58" t="n"/>
      <c r="F26" s="58" t="n"/>
      <c r="G26" s="58" t="n"/>
      <c r="H26" s="59">
        <f>IF(B26="","",D26+E26+F26+G26)</f>
        <v/>
      </c>
      <c r="I26" s="81">
        <f>IFERROR(IF(B26="","",H26/C26),"")</f>
        <v/>
      </c>
      <c r="J26" s="61">
        <f>IF(B26="","",IF(G26&gt;F26,"▲ "&amp;TEXT((G26-F26)/F26,"0.0%"),"▼ "&amp;TEXT((F26-G26)/F26,"0.0%")))</f>
        <v/>
      </c>
      <c r="K26" s="61">
        <f>IFERROR(IF(B26="","",RANK(H26,H$12:H$111,0)),"")</f>
        <v/>
      </c>
      <c r="L26" s="61">
        <f>IF(B26="","",IF(I26&gt;=1.2,"⭐ Star Performer",IF(I26&gt;=1,"✅ At Quota",IF(I26&gt;=0.8,"⚠️ Needs Improvement","🔴 At Risk"))))</f>
        <v/>
      </c>
    </row>
    <row r="27" ht="21.75" customHeight="1" s="46">
      <c r="A27" s="82">
        <f>IF(B27&lt;&gt;"",ROW()-11,"")</f>
        <v/>
      </c>
      <c r="B27" s="64" t="n"/>
      <c r="C27" s="65" t="n"/>
      <c r="D27" s="65" t="n"/>
      <c r="E27" s="65" t="n"/>
      <c r="F27" s="65" t="n"/>
      <c r="G27" s="65" t="n"/>
      <c r="H27" s="66">
        <f>IF(B27="","",D27+E27+F27+G27)</f>
        <v/>
      </c>
      <c r="I27" s="83">
        <f>IFERROR(IF(B27="","",H27/C27),"")</f>
        <v/>
      </c>
      <c r="J27" s="68">
        <f>IF(B27="","",IF(G27&gt;F27,"▲ "&amp;TEXT((G27-F27)/F27,"0.0%"),"▼ "&amp;TEXT((F27-G27)/F27,"0.0%")))</f>
        <v/>
      </c>
      <c r="K27" s="68">
        <f>IFERROR(IF(B27="","",RANK(H27,H$12:H$111,0)),"")</f>
        <v/>
      </c>
      <c r="L27" s="68">
        <f>IF(B27="","",IF(I27&gt;=1.2,"⭐ Star Performer",IF(I27&gt;=1,"✅ At Quota",IF(I27&gt;=0.8,"⚠️ Needs Improvement","🔴 At Risk"))))</f>
        <v/>
      </c>
    </row>
    <row r="28" ht="21.75" customHeight="1" s="46">
      <c r="A28" s="80">
        <f>IF(B28&lt;&gt;"",ROW()-11,"")</f>
        <v/>
      </c>
      <c r="B28" s="57" t="n"/>
      <c r="C28" s="58" t="n"/>
      <c r="D28" s="58" t="n"/>
      <c r="E28" s="58" t="n"/>
      <c r="F28" s="58" t="n"/>
      <c r="G28" s="58" t="n"/>
      <c r="H28" s="59">
        <f>IF(B28="","",D28+E28+F28+G28)</f>
        <v/>
      </c>
      <c r="I28" s="81">
        <f>IFERROR(IF(B28="","",H28/C28),"")</f>
        <v/>
      </c>
      <c r="J28" s="61">
        <f>IF(B28="","",IF(G28&gt;F28,"▲ "&amp;TEXT((G28-F28)/F28,"0.0%"),"▼ "&amp;TEXT((F28-G28)/F28,"0.0%")))</f>
        <v/>
      </c>
      <c r="K28" s="61">
        <f>IFERROR(IF(B28="","",RANK(H28,H$12:H$111,0)),"")</f>
        <v/>
      </c>
      <c r="L28" s="61">
        <f>IF(B28="","",IF(I28&gt;=1.2,"⭐ Star Performer",IF(I28&gt;=1,"✅ At Quota",IF(I28&gt;=0.8,"⚠️ Needs Improvement","🔴 At Risk"))))</f>
        <v/>
      </c>
    </row>
    <row r="29" ht="21.75" customHeight="1" s="46">
      <c r="A29" s="82">
        <f>IF(B29&lt;&gt;"",ROW()-11,"")</f>
        <v/>
      </c>
      <c r="B29" s="64" t="n"/>
      <c r="C29" s="65" t="n"/>
      <c r="D29" s="65" t="n"/>
      <c r="E29" s="65" t="n"/>
      <c r="F29" s="65" t="n"/>
      <c r="G29" s="65" t="n"/>
      <c r="H29" s="66">
        <f>IF(B29="","",D29+E29+F29+G29)</f>
        <v/>
      </c>
      <c r="I29" s="83">
        <f>IFERROR(IF(B29="","",H29/C29),"")</f>
        <v/>
      </c>
      <c r="J29" s="68">
        <f>IF(B29="","",IF(G29&gt;F29,"▲ "&amp;TEXT((G29-F29)/F29,"0.0%"),"▼ "&amp;TEXT((F29-G29)/F29,"0.0%")))</f>
        <v/>
      </c>
      <c r="K29" s="68">
        <f>IFERROR(IF(B29="","",RANK(H29,H$12:H$111,0)),"")</f>
        <v/>
      </c>
      <c r="L29" s="68">
        <f>IF(B29="","",IF(I29&gt;=1.2,"⭐ Star Performer",IF(I29&gt;=1,"✅ At Quota",IF(I29&gt;=0.8,"⚠️ Needs Improvement","🔴 At Risk"))))</f>
        <v/>
      </c>
    </row>
    <row r="30" ht="21.75" customHeight="1" s="46">
      <c r="A30" s="80">
        <f>IF(B30&lt;&gt;"",ROW()-11,"")</f>
        <v/>
      </c>
      <c r="B30" s="57" t="n"/>
      <c r="C30" s="58" t="n"/>
      <c r="D30" s="58" t="n"/>
      <c r="E30" s="58" t="n"/>
      <c r="F30" s="58" t="n"/>
      <c r="G30" s="58" t="n"/>
      <c r="H30" s="59">
        <f>IF(B30="","",D30+E30+F30+G30)</f>
        <v/>
      </c>
      <c r="I30" s="81">
        <f>IFERROR(IF(B30="","",H30/C30),"")</f>
        <v/>
      </c>
      <c r="J30" s="61">
        <f>IF(B30="","",IF(G30&gt;F30,"▲ "&amp;TEXT((G30-F30)/F30,"0.0%"),"▼ "&amp;TEXT((F30-G30)/F30,"0.0%")))</f>
        <v/>
      </c>
      <c r="K30" s="61">
        <f>IFERROR(IF(B30="","",RANK(H30,H$12:H$111,0)),"")</f>
        <v/>
      </c>
      <c r="L30" s="61">
        <f>IF(B30="","",IF(I30&gt;=1.2,"⭐ Star Performer",IF(I30&gt;=1,"✅ At Quota",IF(I30&gt;=0.8,"⚠️ Needs Improvement","🔴 At Risk"))))</f>
        <v/>
      </c>
    </row>
    <row r="31" ht="21.75" customHeight="1" s="46">
      <c r="A31" s="82">
        <f>IF(B31&lt;&gt;"",ROW()-11,"")</f>
        <v/>
      </c>
      <c r="B31" s="64" t="n"/>
      <c r="C31" s="65" t="n"/>
      <c r="D31" s="65" t="n"/>
      <c r="E31" s="65" t="n"/>
      <c r="F31" s="65" t="n"/>
      <c r="G31" s="65" t="n"/>
      <c r="H31" s="66">
        <f>IF(B31="","",D31+E31+F31+G31)</f>
        <v/>
      </c>
      <c r="I31" s="83">
        <f>IFERROR(IF(B31="","",H31/C31),"")</f>
        <v/>
      </c>
      <c r="J31" s="68">
        <f>IF(B31="","",IF(G31&gt;F31,"▲ "&amp;TEXT((G31-F31)/F31,"0.0%"),"▼ "&amp;TEXT((F31-G31)/F31,"0.0%")))</f>
        <v/>
      </c>
      <c r="K31" s="68">
        <f>IFERROR(IF(B31="","",RANK(H31,H$12:H$111,0)),"")</f>
        <v/>
      </c>
      <c r="L31" s="68">
        <f>IF(B31="","",IF(I31&gt;=1.2,"⭐ Star Performer",IF(I31&gt;=1,"✅ At Quota",IF(I31&gt;=0.8,"⚠️ Needs Improvement","🔴 At Risk"))))</f>
        <v/>
      </c>
    </row>
    <row r="32" ht="21.75" customHeight="1" s="46">
      <c r="A32" s="80">
        <f>IF(B32&lt;&gt;"",ROW()-11,"")</f>
        <v/>
      </c>
      <c r="B32" s="57" t="n"/>
      <c r="C32" s="58" t="n"/>
      <c r="D32" s="58" t="n"/>
      <c r="E32" s="58" t="n"/>
      <c r="F32" s="58" t="n"/>
      <c r="G32" s="58" t="n"/>
      <c r="H32" s="59">
        <f>IF(B32="","",D32+E32+F32+G32)</f>
        <v/>
      </c>
      <c r="I32" s="81">
        <f>IFERROR(IF(B32="","",H32/C32),"")</f>
        <v/>
      </c>
      <c r="J32" s="61">
        <f>IF(B32="","",IF(G32&gt;F32,"▲ "&amp;TEXT((G32-F32)/F32,"0.0%"),"▼ "&amp;TEXT((F32-G32)/F32,"0.0%")))</f>
        <v/>
      </c>
      <c r="K32" s="61">
        <f>IFERROR(IF(B32="","",RANK(H32,H$12:H$111,0)),"")</f>
        <v/>
      </c>
      <c r="L32" s="61">
        <f>IF(B32="","",IF(I32&gt;=1.2,"⭐ Star Performer",IF(I32&gt;=1,"✅ At Quota",IF(I32&gt;=0.8,"⚠️ Needs Improvement","🔴 At Risk"))))</f>
        <v/>
      </c>
    </row>
    <row r="33" ht="21.75" customHeight="1" s="46">
      <c r="A33" s="82">
        <f>IF(B33&lt;&gt;"",ROW()-11,"")</f>
        <v/>
      </c>
      <c r="B33" s="64" t="n"/>
      <c r="C33" s="65" t="n"/>
      <c r="D33" s="65" t="n"/>
      <c r="E33" s="65" t="n"/>
      <c r="F33" s="65" t="n"/>
      <c r="G33" s="65" t="n"/>
      <c r="H33" s="66">
        <f>IF(B33="","",D33+E33+F33+G33)</f>
        <v/>
      </c>
      <c r="I33" s="83">
        <f>IFERROR(IF(B33="","",H33/C33),"")</f>
        <v/>
      </c>
      <c r="J33" s="68">
        <f>IF(B33="","",IF(G33&gt;F33,"▲ "&amp;TEXT((G33-F33)/F33,"0.0%"),"▼ "&amp;TEXT((F33-G33)/F33,"0.0%")))</f>
        <v/>
      </c>
      <c r="K33" s="68">
        <f>IFERROR(IF(B33="","",RANK(H33,H$12:H$111,0)),"")</f>
        <v/>
      </c>
      <c r="L33" s="68">
        <f>IF(B33="","",IF(I33&gt;=1.2,"⭐ Star Performer",IF(I33&gt;=1,"✅ At Quota",IF(I33&gt;=0.8,"⚠️ Needs Improvement","🔴 At Risk"))))</f>
        <v/>
      </c>
    </row>
    <row r="34" ht="21.75" customHeight="1" s="46">
      <c r="A34" s="80">
        <f>IF(B34&lt;&gt;"",ROW()-11,"")</f>
        <v/>
      </c>
      <c r="B34" s="57" t="n"/>
      <c r="C34" s="58" t="n"/>
      <c r="D34" s="58" t="n"/>
      <c r="E34" s="58" t="n"/>
      <c r="F34" s="58" t="n"/>
      <c r="G34" s="58" t="n"/>
      <c r="H34" s="59">
        <f>IF(B34="","",D34+E34+F34+G34)</f>
        <v/>
      </c>
      <c r="I34" s="81">
        <f>IFERROR(IF(B34="","",H34/C34),"")</f>
        <v/>
      </c>
      <c r="J34" s="61">
        <f>IF(B34="","",IF(G34&gt;F34,"▲ "&amp;TEXT((G34-F34)/F34,"0.0%"),"▼ "&amp;TEXT((F34-G34)/F34,"0.0%")))</f>
        <v/>
      </c>
      <c r="K34" s="61">
        <f>IFERROR(IF(B34="","",RANK(H34,H$12:H$111,0)),"")</f>
        <v/>
      </c>
      <c r="L34" s="61">
        <f>IF(B34="","",IF(I34&gt;=1.2,"⭐ Star Performer",IF(I34&gt;=1,"✅ At Quota",IF(I34&gt;=0.8,"⚠️ Needs Improvement","🔴 At Risk"))))</f>
        <v/>
      </c>
    </row>
    <row r="35" ht="21.75" customHeight="1" s="46">
      <c r="A35" s="82">
        <f>IF(B35&lt;&gt;"",ROW()-11,"")</f>
        <v/>
      </c>
      <c r="B35" s="64" t="n"/>
      <c r="C35" s="65" t="n"/>
      <c r="D35" s="65" t="n"/>
      <c r="E35" s="65" t="n"/>
      <c r="F35" s="65" t="n"/>
      <c r="G35" s="65" t="n"/>
      <c r="H35" s="66">
        <f>IF(B35="","",D35+E35+F35+G35)</f>
        <v/>
      </c>
      <c r="I35" s="83">
        <f>IFERROR(IF(B35="","",H35/C35),"")</f>
        <v/>
      </c>
      <c r="J35" s="68">
        <f>IF(B35="","",IF(G35&gt;F35,"▲ "&amp;TEXT((G35-F35)/F35,"0.0%"),"▼ "&amp;TEXT((F35-G35)/F35,"0.0%")))</f>
        <v/>
      </c>
      <c r="K35" s="68">
        <f>IFERROR(IF(B35="","",RANK(H35,H$12:H$111,0)),"")</f>
        <v/>
      </c>
      <c r="L35" s="68">
        <f>IF(B35="","",IF(I35&gt;=1.2,"⭐ Star Performer",IF(I35&gt;=1,"✅ At Quota",IF(I35&gt;=0.8,"⚠️ Needs Improvement","🔴 At Risk"))))</f>
        <v/>
      </c>
    </row>
    <row r="36" ht="21.75" customHeight="1" s="46">
      <c r="A36" s="80">
        <f>IF(B36&lt;&gt;"",ROW()-11,"")</f>
        <v/>
      </c>
      <c r="B36" s="57" t="n"/>
      <c r="C36" s="58" t="n"/>
      <c r="D36" s="58" t="n"/>
      <c r="E36" s="58" t="n"/>
      <c r="F36" s="58" t="n"/>
      <c r="G36" s="58" t="n"/>
      <c r="H36" s="59">
        <f>IF(B36="","",D36+E36+F36+G36)</f>
        <v/>
      </c>
      <c r="I36" s="81">
        <f>IFERROR(IF(B36="","",H36/C36),"")</f>
        <v/>
      </c>
      <c r="J36" s="61">
        <f>IF(B36="","",IF(G36&gt;F36,"▲ "&amp;TEXT((G36-F36)/F36,"0.0%"),"▼ "&amp;TEXT((F36-G36)/F36,"0.0%")))</f>
        <v/>
      </c>
      <c r="K36" s="61">
        <f>IFERROR(IF(B36="","",RANK(H36,H$12:H$111,0)),"")</f>
        <v/>
      </c>
      <c r="L36" s="61">
        <f>IF(B36="","",IF(I36&gt;=1.2,"⭐ Star Performer",IF(I36&gt;=1,"✅ At Quota",IF(I36&gt;=0.8,"⚠️ Needs Improvement","🔴 At Risk"))))</f>
        <v/>
      </c>
    </row>
    <row r="37" ht="21.75" customHeight="1" s="46">
      <c r="A37" s="82">
        <f>IF(B37&lt;&gt;"",ROW()-11,"")</f>
        <v/>
      </c>
      <c r="B37" s="64" t="n"/>
      <c r="C37" s="65" t="n"/>
      <c r="D37" s="65" t="n"/>
      <c r="E37" s="65" t="n"/>
      <c r="F37" s="65" t="n"/>
      <c r="G37" s="65" t="n"/>
      <c r="H37" s="66">
        <f>IF(B37="","",D37+E37+F37+G37)</f>
        <v/>
      </c>
      <c r="I37" s="83">
        <f>IFERROR(IF(B37="","",H37/C37),"")</f>
        <v/>
      </c>
      <c r="J37" s="68">
        <f>IF(B37="","",IF(G37&gt;F37,"▲ "&amp;TEXT((G37-F37)/F37,"0.0%"),"▼ "&amp;TEXT((F37-G37)/F37,"0.0%")))</f>
        <v/>
      </c>
      <c r="K37" s="68">
        <f>IFERROR(IF(B37="","",RANK(H37,H$12:H$111,0)),"")</f>
        <v/>
      </c>
      <c r="L37" s="68">
        <f>IF(B37="","",IF(I37&gt;=1.2,"⭐ Star Performer",IF(I37&gt;=1,"✅ At Quota",IF(I37&gt;=0.8,"⚠️ Needs Improvement","🔴 At Risk"))))</f>
        <v/>
      </c>
    </row>
    <row r="38" ht="21.75" customHeight="1" s="46">
      <c r="A38" s="80">
        <f>IF(B38&lt;&gt;"",ROW()-11,"")</f>
        <v/>
      </c>
      <c r="B38" s="57" t="n"/>
      <c r="C38" s="58" t="n"/>
      <c r="D38" s="58" t="n"/>
      <c r="E38" s="58" t="n"/>
      <c r="F38" s="58" t="n"/>
      <c r="G38" s="58" t="n"/>
      <c r="H38" s="59">
        <f>IF(B38="","",D38+E38+F38+G38)</f>
        <v/>
      </c>
      <c r="I38" s="81">
        <f>IFERROR(IF(B38="","",H38/C38),"")</f>
        <v/>
      </c>
      <c r="J38" s="61">
        <f>IF(B38="","",IF(G38&gt;F38,"▲ "&amp;TEXT((G38-F38)/F38,"0.0%"),"▼ "&amp;TEXT((F38-G38)/F38,"0.0%")))</f>
        <v/>
      </c>
      <c r="K38" s="61">
        <f>IFERROR(IF(B38="","",RANK(H38,H$12:H$111,0)),"")</f>
        <v/>
      </c>
      <c r="L38" s="61">
        <f>IF(B38="","",IF(I38&gt;=1.2,"⭐ Star Performer",IF(I38&gt;=1,"✅ At Quota",IF(I38&gt;=0.8,"⚠️ Needs Improvement","🔴 At Risk"))))</f>
        <v/>
      </c>
    </row>
    <row r="39" ht="21.75" customHeight="1" s="46">
      <c r="A39" s="82">
        <f>IF(B39&lt;&gt;"",ROW()-11,"")</f>
        <v/>
      </c>
      <c r="B39" s="64" t="n"/>
      <c r="C39" s="65" t="n"/>
      <c r="D39" s="65" t="n"/>
      <c r="E39" s="65" t="n"/>
      <c r="F39" s="65" t="n"/>
      <c r="G39" s="65" t="n"/>
      <c r="H39" s="66">
        <f>IF(B39="","",D39+E39+F39+G39)</f>
        <v/>
      </c>
      <c r="I39" s="83">
        <f>IFERROR(IF(B39="","",H39/C39),"")</f>
        <v/>
      </c>
      <c r="J39" s="68">
        <f>IF(B39="","",IF(G39&gt;F39,"▲ "&amp;TEXT((G39-F39)/F39,"0.0%"),"▼ "&amp;TEXT((F39-G39)/F39,"0.0%")))</f>
        <v/>
      </c>
      <c r="K39" s="68">
        <f>IFERROR(IF(B39="","",RANK(H39,H$12:H$111,0)),"")</f>
        <v/>
      </c>
      <c r="L39" s="68">
        <f>IF(B39="","",IF(I39&gt;=1.2,"⭐ Star Performer",IF(I39&gt;=1,"✅ At Quota",IF(I39&gt;=0.8,"⚠️ Needs Improvement","🔴 At Risk"))))</f>
        <v/>
      </c>
    </row>
    <row r="40" ht="21.75" customHeight="1" s="46">
      <c r="A40" s="80">
        <f>IF(B40&lt;&gt;"",ROW()-11,"")</f>
        <v/>
      </c>
      <c r="B40" s="57" t="n"/>
      <c r="C40" s="58" t="n"/>
      <c r="D40" s="58" t="n"/>
      <c r="E40" s="58" t="n"/>
      <c r="F40" s="58" t="n"/>
      <c r="G40" s="58" t="n"/>
      <c r="H40" s="59">
        <f>IF(B40="","",D40+E40+F40+G40)</f>
        <v/>
      </c>
      <c r="I40" s="81">
        <f>IFERROR(IF(B40="","",H40/C40),"")</f>
        <v/>
      </c>
      <c r="J40" s="61">
        <f>IF(B40="","",IF(G40&gt;F40,"▲ "&amp;TEXT((G40-F40)/F40,"0.0%"),"▼ "&amp;TEXT((F40-G40)/F40,"0.0%")))</f>
        <v/>
      </c>
      <c r="K40" s="61">
        <f>IFERROR(IF(B40="","",RANK(H40,H$12:H$111,0)),"")</f>
        <v/>
      </c>
      <c r="L40" s="61">
        <f>IF(B40="","",IF(I40&gt;=1.2,"⭐ Star Performer",IF(I40&gt;=1,"✅ At Quota",IF(I40&gt;=0.8,"⚠️ Needs Improvement","🔴 At Risk"))))</f>
        <v/>
      </c>
    </row>
    <row r="41" ht="21.75" customHeight="1" s="46">
      <c r="A41" s="82">
        <f>IF(B41&lt;&gt;"",ROW()-11,"")</f>
        <v/>
      </c>
      <c r="B41" s="64" t="n"/>
      <c r="C41" s="65" t="n"/>
      <c r="D41" s="65" t="n"/>
      <c r="E41" s="65" t="n"/>
      <c r="F41" s="65" t="n"/>
      <c r="G41" s="65" t="n"/>
      <c r="H41" s="66">
        <f>IF(B41="","",D41+E41+F41+G41)</f>
        <v/>
      </c>
      <c r="I41" s="83">
        <f>IFERROR(IF(B41="","",H41/C41),"")</f>
        <v/>
      </c>
      <c r="J41" s="68">
        <f>IF(B41="","",IF(G41&gt;F41,"▲ "&amp;TEXT((G41-F41)/F41,"0.0%"),"▼ "&amp;TEXT((F41-G41)/F41,"0.0%")))</f>
        <v/>
      </c>
      <c r="K41" s="68">
        <f>IFERROR(IF(B41="","",RANK(H41,H$12:H$111,0)),"")</f>
        <v/>
      </c>
      <c r="L41" s="68">
        <f>IF(B41="","",IF(I41&gt;=1.2,"⭐ Star Performer",IF(I41&gt;=1,"✅ At Quota",IF(I41&gt;=0.8,"⚠️ Needs Improvement","🔴 At Risk"))))</f>
        <v/>
      </c>
    </row>
    <row r="42" ht="21.75" customHeight="1" s="46">
      <c r="A42" s="80">
        <f>IF(B42&lt;&gt;"",ROW()-11,"")</f>
        <v/>
      </c>
      <c r="B42" s="57" t="n"/>
      <c r="C42" s="58" t="n"/>
      <c r="D42" s="58" t="n"/>
      <c r="E42" s="58" t="n"/>
      <c r="F42" s="58" t="n"/>
      <c r="G42" s="58" t="n"/>
      <c r="H42" s="59">
        <f>IF(B42="","",D42+E42+F42+G42)</f>
        <v/>
      </c>
      <c r="I42" s="81">
        <f>IFERROR(IF(B42="","",H42/C42),"")</f>
        <v/>
      </c>
      <c r="J42" s="61">
        <f>IF(B42="","",IF(G42&gt;F42,"▲ "&amp;TEXT((G42-F42)/F42,"0.0%"),"▼ "&amp;TEXT((F42-G42)/F42,"0.0%")))</f>
        <v/>
      </c>
      <c r="K42" s="61">
        <f>IFERROR(IF(B42="","",RANK(H42,H$12:H$111,0)),"")</f>
        <v/>
      </c>
      <c r="L42" s="61">
        <f>IF(B42="","",IF(I42&gt;=1.2,"⭐ Star Performer",IF(I42&gt;=1,"✅ At Quota",IF(I42&gt;=0.8,"⚠️ Needs Improvement","🔴 At Risk"))))</f>
        <v/>
      </c>
    </row>
    <row r="43" ht="21.75" customHeight="1" s="46">
      <c r="A43" s="82">
        <f>IF(B43&lt;&gt;"",ROW()-11,"")</f>
        <v/>
      </c>
      <c r="B43" s="64" t="n"/>
      <c r="C43" s="65" t="n"/>
      <c r="D43" s="65" t="n"/>
      <c r="E43" s="65" t="n"/>
      <c r="F43" s="65" t="n"/>
      <c r="G43" s="65" t="n"/>
      <c r="H43" s="66">
        <f>IF(B43="","",D43+E43+F43+G43)</f>
        <v/>
      </c>
      <c r="I43" s="83">
        <f>IFERROR(IF(B43="","",H43/C43),"")</f>
        <v/>
      </c>
      <c r="J43" s="68">
        <f>IF(B43="","",IF(G43&gt;F43,"▲ "&amp;TEXT((G43-F43)/F43,"0.0%"),"▼ "&amp;TEXT((F43-G43)/F43,"0.0%")))</f>
        <v/>
      </c>
      <c r="K43" s="68">
        <f>IFERROR(IF(B43="","",RANK(H43,H$12:H$111,0)),"")</f>
        <v/>
      </c>
      <c r="L43" s="68">
        <f>IF(B43="","",IF(I43&gt;=1.2,"⭐ Star Performer",IF(I43&gt;=1,"✅ At Quota",IF(I43&gt;=0.8,"⚠️ Needs Improvement","🔴 At Risk"))))</f>
        <v/>
      </c>
    </row>
    <row r="44" ht="21.75" customHeight="1" s="46">
      <c r="A44" s="80">
        <f>IF(B44&lt;&gt;"",ROW()-11,"")</f>
        <v/>
      </c>
      <c r="B44" s="57" t="n"/>
      <c r="C44" s="58" t="n"/>
      <c r="D44" s="58" t="n"/>
      <c r="E44" s="58" t="n"/>
      <c r="F44" s="58" t="n"/>
      <c r="G44" s="58" t="n"/>
      <c r="H44" s="59">
        <f>IF(B44="","",D44+E44+F44+G44)</f>
        <v/>
      </c>
      <c r="I44" s="81">
        <f>IFERROR(IF(B44="","",H44/C44),"")</f>
        <v/>
      </c>
      <c r="J44" s="61">
        <f>IF(B44="","",IF(G44&gt;F44,"▲ "&amp;TEXT((G44-F44)/F44,"0.0%"),"▼ "&amp;TEXT((F44-G44)/F44,"0.0%")))</f>
        <v/>
      </c>
      <c r="K44" s="61">
        <f>IFERROR(IF(B44="","",RANK(H44,H$12:H$111,0)),"")</f>
        <v/>
      </c>
      <c r="L44" s="61">
        <f>IF(B44="","",IF(I44&gt;=1.2,"⭐ Star Performer",IF(I44&gt;=1,"✅ At Quota",IF(I44&gt;=0.8,"⚠️ Needs Improvement","🔴 At Risk"))))</f>
        <v/>
      </c>
    </row>
    <row r="45" ht="21.75" customHeight="1" s="46">
      <c r="A45" s="82">
        <f>IF(B45&lt;&gt;"",ROW()-11,"")</f>
        <v/>
      </c>
      <c r="B45" s="64" t="n"/>
      <c r="C45" s="65" t="n"/>
      <c r="D45" s="65" t="n"/>
      <c r="E45" s="65" t="n"/>
      <c r="F45" s="65" t="n"/>
      <c r="G45" s="65" t="n"/>
      <c r="H45" s="66">
        <f>IF(B45="","",D45+E45+F45+G45)</f>
        <v/>
      </c>
      <c r="I45" s="83">
        <f>IFERROR(IF(B45="","",H45/C45),"")</f>
        <v/>
      </c>
      <c r="J45" s="68">
        <f>IF(B45="","",IF(G45&gt;F45,"▲ "&amp;TEXT((G45-F45)/F45,"0.0%"),"▼ "&amp;TEXT((F45-G45)/F45,"0.0%")))</f>
        <v/>
      </c>
      <c r="K45" s="68">
        <f>IFERROR(IF(B45="","",RANK(H45,H$12:H$111,0)),"")</f>
        <v/>
      </c>
      <c r="L45" s="68">
        <f>IF(B45="","",IF(I45&gt;=1.2,"⭐ Star Performer",IF(I45&gt;=1,"✅ At Quota",IF(I45&gt;=0.8,"⚠️ Needs Improvement","🔴 At Risk"))))</f>
        <v/>
      </c>
    </row>
    <row r="46" ht="21.75" customHeight="1" s="46">
      <c r="A46" s="80">
        <f>IF(B46&lt;&gt;"",ROW()-11,"")</f>
        <v/>
      </c>
      <c r="B46" s="57" t="n"/>
      <c r="C46" s="58" t="n"/>
      <c r="D46" s="58" t="n"/>
      <c r="E46" s="58" t="n"/>
      <c r="F46" s="58" t="n"/>
      <c r="G46" s="58" t="n"/>
      <c r="H46" s="59">
        <f>IF(B46="","",D46+E46+F46+G46)</f>
        <v/>
      </c>
      <c r="I46" s="81">
        <f>IFERROR(IF(B46="","",H46/C46),"")</f>
        <v/>
      </c>
      <c r="J46" s="61">
        <f>IF(B46="","",IF(G46&gt;F46,"▲ "&amp;TEXT((G46-F46)/F46,"0.0%"),"▼ "&amp;TEXT((F46-G46)/F46,"0.0%")))</f>
        <v/>
      </c>
      <c r="K46" s="61">
        <f>IFERROR(IF(B46="","",RANK(H46,H$12:H$111,0)),"")</f>
        <v/>
      </c>
      <c r="L46" s="61">
        <f>IF(B46="","",IF(I46&gt;=1.2,"⭐ Star Performer",IF(I46&gt;=1,"✅ At Quota",IF(I46&gt;=0.8,"⚠️ Needs Improvement","🔴 At Risk"))))</f>
        <v/>
      </c>
    </row>
    <row r="47" ht="21.75" customHeight="1" s="46">
      <c r="A47" s="82">
        <f>IF(B47&lt;&gt;"",ROW()-11,"")</f>
        <v/>
      </c>
      <c r="B47" s="64" t="n"/>
      <c r="C47" s="65" t="n"/>
      <c r="D47" s="65" t="n"/>
      <c r="E47" s="65" t="n"/>
      <c r="F47" s="65" t="n"/>
      <c r="G47" s="65" t="n"/>
      <c r="H47" s="66">
        <f>IF(B47="","",D47+E47+F47+G47)</f>
        <v/>
      </c>
      <c r="I47" s="83">
        <f>IFERROR(IF(B47="","",H47/C47),"")</f>
        <v/>
      </c>
      <c r="J47" s="68">
        <f>IF(B47="","",IF(G47&gt;F47,"▲ "&amp;TEXT((G47-F47)/F47,"0.0%"),"▼ "&amp;TEXT((F47-G47)/F47,"0.0%")))</f>
        <v/>
      </c>
      <c r="K47" s="68">
        <f>IFERROR(IF(B47="","",RANK(H47,H$12:H$111,0)),"")</f>
        <v/>
      </c>
      <c r="L47" s="68">
        <f>IF(B47="","",IF(I47&gt;=1.2,"⭐ Star Performer",IF(I47&gt;=1,"✅ At Quota",IF(I47&gt;=0.8,"⚠️ Needs Improvement","🔴 At Risk"))))</f>
        <v/>
      </c>
    </row>
    <row r="48" ht="21.75" customHeight="1" s="46">
      <c r="A48" s="80">
        <f>IF(B48&lt;&gt;"",ROW()-11,"")</f>
        <v/>
      </c>
      <c r="B48" s="57" t="n"/>
      <c r="C48" s="58" t="n"/>
      <c r="D48" s="58" t="n"/>
      <c r="E48" s="58" t="n"/>
      <c r="F48" s="58" t="n"/>
      <c r="G48" s="58" t="n"/>
      <c r="H48" s="59">
        <f>IF(B48="","",D48+E48+F48+G48)</f>
        <v/>
      </c>
      <c r="I48" s="81">
        <f>IFERROR(IF(B48="","",H48/C48),"")</f>
        <v/>
      </c>
      <c r="J48" s="61">
        <f>IF(B48="","",IF(G48&gt;F48,"▲ "&amp;TEXT((G48-F48)/F48,"0.0%"),"▼ "&amp;TEXT((F48-G48)/F48,"0.0%")))</f>
        <v/>
      </c>
      <c r="K48" s="61">
        <f>IFERROR(IF(B48="","",RANK(H48,H$12:H$111,0)),"")</f>
        <v/>
      </c>
      <c r="L48" s="61">
        <f>IF(B48="","",IF(I48&gt;=1.2,"⭐ Star Performer",IF(I48&gt;=1,"✅ At Quota",IF(I48&gt;=0.8,"⚠️ Needs Improvement","🔴 At Risk"))))</f>
        <v/>
      </c>
    </row>
    <row r="49" ht="21.75" customHeight="1" s="46">
      <c r="A49" s="82">
        <f>IF(B49&lt;&gt;"",ROW()-11,"")</f>
        <v/>
      </c>
      <c r="B49" s="64" t="n"/>
      <c r="C49" s="65" t="n"/>
      <c r="D49" s="65" t="n"/>
      <c r="E49" s="65" t="n"/>
      <c r="F49" s="65" t="n"/>
      <c r="G49" s="65" t="n"/>
      <c r="H49" s="66">
        <f>IF(B49="","",D49+E49+F49+G49)</f>
        <v/>
      </c>
      <c r="I49" s="83">
        <f>IFERROR(IF(B49="","",H49/C49),"")</f>
        <v/>
      </c>
      <c r="J49" s="68">
        <f>IF(B49="","",IF(G49&gt;F49,"▲ "&amp;TEXT((G49-F49)/F49,"0.0%"),"▼ "&amp;TEXT((F49-G49)/F49,"0.0%")))</f>
        <v/>
      </c>
      <c r="K49" s="68">
        <f>IFERROR(IF(B49="","",RANK(H49,H$12:H$111,0)),"")</f>
        <v/>
      </c>
      <c r="L49" s="68">
        <f>IF(B49="","",IF(I49&gt;=1.2,"⭐ Star Performer",IF(I49&gt;=1,"✅ At Quota",IF(I49&gt;=0.8,"⚠️ Needs Improvement","🔴 At Risk"))))</f>
        <v/>
      </c>
    </row>
    <row r="50" ht="21.75" customHeight="1" s="46">
      <c r="A50" s="80">
        <f>IF(B50&lt;&gt;"",ROW()-11,"")</f>
        <v/>
      </c>
      <c r="B50" s="57" t="n"/>
      <c r="C50" s="58" t="n"/>
      <c r="D50" s="58" t="n"/>
      <c r="E50" s="58" t="n"/>
      <c r="F50" s="58" t="n"/>
      <c r="G50" s="58" t="n"/>
      <c r="H50" s="59">
        <f>IF(B50="","",D50+E50+F50+G50)</f>
        <v/>
      </c>
      <c r="I50" s="81">
        <f>IFERROR(IF(B50="","",H50/C50),"")</f>
        <v/>
      </c>
      <c r="J50" s="61">
        <f>IF(B50="","",IF(G50&gt;F50,"▲ "&amp;TEXT((G50-F50)/F50,"0.0%"),"▼ "&amp;TEXT((F50-G50)/F50,"0.0%")))</f>
        <v/>
      </c>
      <c r="K50" s="61">
        <f>IFERROR(IF(B50="","",RANK(H50,H$12:H$111,0)),"")</f>
        <v/>
      </c>
      <c r="L50" s="61">
        <f>IF(B50="","",IF(I50&gt;=1.2,"⭐ Star Performer",IF(I50&gt;=1,"✅ At Quota",IF(I50&gt;=0.8,"⚠️ Needs Improvement","🔴 At Risk"))))</f>
        <v/>
      </c>
    </row>
    <row r="51" ht="21.75" customHeight="1" s="46">
      <c r="A51" s="82">
        <f>IF(B51&lt;&gt;"",ROW()-11,"")</f>
        <v/>
      </c>
      <c r="B51" s="64" t="n"/>
      <c r="C51" s="65" t="n"/>
      <c r="D51" s="65" t="n"/>
      <c r="E51" s="65" t="n"/>
      <c r="F51" s="65" t="n"/>
      <c r="G51" s="65" t="n"/>
      <c r="H51" s="66">
        <f>IF(B51="","",D51+E51+F51+G51)</f>
        <v/>
      </c>
      <c r="I51" s="83">
        <f>IFERROR(IF(B51="","",H51/C51),"")</f>
        <v/>
      </c>
      <c r="J51" s="68">
        <f>IF(B51="","",IF(G51&gt;F51,"▲ "&amp;TEXT((G51-F51)/F51,"0.0%"),"▼ "&amp;TEXT((F51-G51)/F51,"0.0%")))</f>
        <v/>
      </c>
      <c r="K51" s="68">
        <f>IFERROR(IF(B51="","",RANK(H51,H$12:H$111,0)),"")</f>
        <v/>
      </c>
      <c r="L51" s="68">
        <f>IF(B51="","",IF(I51&gt;=1.2,"⭐ Star Performer",IF(I51&gt;=1,"✅ At Quota",IF(I51&gt;=0.8,"⚠️ Needs Improvement","🔴 At Risk"))))</f>
        <v/>
      </c>
    </row>
    <row r="52" ht="21.75" customHeight="1" s="46">
      <c r="A52" s="80">
        <f>IF(B52&lt;&gt;"",ROW()-11,"")</f>
        <v/>
      </c>
      <c r="B52" s="57" t="n"/>
      <c r="C52" s="58" t="n"/>
      <c r="D52" s="58" t="n"/>
      <c r="E52" s="58" t="n"/>
      <c r="F52" s="58" t="n"/>
      <c r="G52" s="58" t="n"/>
      <c r="H52" s="59">
        <f>IF(B52="","",D52+E52+F52+G52)</f>
        <v/>
      </c>
      <c r="I52" s="81">
        <f>IFERROR(IF(B52="","",H52/C52),"")</f>
        <v/>
      </c>
      <c r="J52" s="61">
        <f>IF(B52="","",IF(G52&gt;F52,"▲ "&amp;TEXT((G52-F52)/F52,"0.0%"),"▼ "&amp;TEXT((F52-G52)/F52,"0.0%")))</f>
        <v/>
      </c>
      <c r="K52" s="61">
        <f>IFERROR(IF(B52="","",RANK(H52,H$12:H$111,0)),"")</f>
        <v/>
      </c>
      <c r="L52" s="61">
        <f>IF(B52="","",IF(I52&gt;=1.2,"⭐ Star Performer",IF(I52&gt;=1,"✅ At Quota",IF(I52&gt;=0.8,"⚠️ Needs Improvement","🔴 At Risk"))))</f>
        <v/>
      </c>
    </row>
    <row r="53" ht="21.75" customHeight="1" s="46">
      <c r="A53" s="82">
        <f>IF(B53&lt;&gt;"",ROW()-11,"")</f>
        <v/>
      </c>
      <c r="B53" s="64" t="n"/>
      <c r="C53" s="65" t="n"/>
      <c r="D53" s="65" t="n"/>
      <c r="E53" s="65" t="n"/>
      <c r="F53" s="65" t="n"/>
      <c r="G53" s="65" t="n"/>
      <c r="H53" s="66">
        <f>IF(B53="","",D53+E53+F53+G53)</f>
        <v/>
      </c>
      <c r="I53" s="83">
        <f>IFERROR(IF(B53="","",H53/C53),"")</f>
        <v/>
      </c>
      <c r="J53" s="68">
        <f>IF(B53="","",IF(G53&gt;F53,"▲ "&amp;TEXT((G53-F53)/F53,"0.0%"),"▼ "&amp;TEXT((F53-G53)/F53,"0.0%")))</f>
        <v/>
      </c>
      <c r="K53" s="68">
        <f>IFERROR(IF(B53="","",RANK(H53,H$12:H$111,0)),"")</f>
        <v/>
      </c>
      <c r="L53" s="68">
        <f>IF(B53="","",IF(I53&gt;=1.2,"⭐ Star Performer",IF(I53&gt;=1,"✅ At Quota",IF(I53&gt;=0.8,"⚠️ Needs Improvement","🔴 At Risk"))))</f>
        <v/>
      </c>
    </row>
    <row r="54" ht="21.75" customHeight="1" s="46">
      <c r="A54" s="80">
        <f>IF(B54&lt;&gt;"",ROW()-11,"")</f>
        <v/>
      </c>
      <c r="B54" s="57" t="n"/>
      <c r="C54" s="58" t="n"/>
      <c r="D54" s="58" t="n"/>
      <c r="E54" s="58" t="n"/>
      <c r="F54" s="58" t="n"/>
      <c r="G54" s="58" t="n"/>
      <c r="H54" s="59">
        <f>IF(B54="","",D54+E54+F54+G54)</f>
        <v/>
      </c>
      <c r="I54" s="81">
        <f>IFERROR(IF(B54="","",H54/C54),"")</f>
        <v/>
      </c>
      <c r="J54" s="61">
        <f>IF(B54="","",IF(G54&gt;F54,"▲ "&amp;TEXT((G54-F54)/F54,"0.0%"),"▼ "&amp;TEXT((F54-G54)/F54,"0.0%")))</f>
        <v/>
      </c>
      <c r="K54" s="61">
        <f>IFERROR(IF(B54="","",RANK(H54,H$12:H$111,0)),"")</f>
        <v/>
      </c>
      <c r="L54" s="61">
        <f>IF(B54="","",IF(I54&gt;=1.2,"⭐ Star Performer",IF(I54&gt;=1,"✅ At Quota",IF(I54&gt;=0.8,"⚠️ Needs Improvement","🔴 At Risk"))))</f>
        <v/>
      </c>
    </row>
    <row r="55" ht="21.75" customHeight="1" s="46">
      <c r="A55" s="82">
        <f>IF(B55&lt;&gt;"",ROW()-11,"")</f>
        <v/>
      </c>
      <c r="B55" s="64" t="n"/>
      <c r="C55" s="65" t="n"/>
      <c r="D55" s="65" t="n"/>
      <c r="E55" s="65" t="n"/>
      <c r="F55" s="65" t="n"/>
      <c r="G55" s="65" t="n"/>
      <c r="H55" s="66">
        <f>IF(B55="","",D55+E55+F55+G55)</f>
        <v/>
      </c>
      <c r="I55" s="83">
        <f>IFERROR(IF(B55="","",H55/C55),"")</f>
        <v/>
      </c>
      <c r="J55" s="68">
        <f>IF(B55="","",IF(G55&gt;F55,"▲ "&amp;TEXT((G55-F55)/F55,"0.0%"),"▼ "&amp;TEXT((F55-G55)/F55,"0.0%")))</f>
        <v/>
      </c>
      <c r="K55" s="68">
        <f>IFERROR(IF(B55="","",RANK(H55,H$12:H$111,0)),"")</f>
        <v/>
      </c>
      <c r="L55" s="68">
        <f>IF(B55="","",IF(I55&gt;=1.2,"⭐ Star Performer",IF(I55&gt;=1,"✅ At Quota",IF(I55&gt;=0.8,"⚠️ Needs Improvement","🔴 At Risk"))))</f>
        <v/>
      </c>
    </row>
    <row r="56" ht="21.75" customHeight="1" s="46">
      <c r="A56" s="80">
        <f>IF(B56&lt;&gt;"",ROW()-11,"")</f>
        <v/>
      </c>
      <c r="B56" s="57" t="n"/>
      <c r="C56" s="58" t="n"/>
      <c r="D56" s="58" t="n"/>
      <c r="E56" s="58" t="n"/>
      <c r="F56" s="58" t="n"/>
      <c r="G56" s="58" t="n"/>
      <c r="H56" s="59">
        <f>IF(B56="","",D56+E56+F56+G56)</f>
        <v/>
      </c>
      <c r="I56" s="81">
        <f>IFERROR(IF(B56="","",H56/C56),"")</f>
        <v/>
      </c>
      <c r="J56" s="61">
        <f>IF(B56="","",IF(G56&gt;F56,"▲ "&amp;TEXT((G56-F56)/F56,"0.0%"),"▼ "&amp;TEXT((F56-G56)/F56,"0.0%")))</f>
        <v/>
      </c>
      <c r="K56" s="61">
        <f>IFERROR(IF(B56="","",RANK(H56,H$12:H$111,0)),"")</f>
        <v/>
      </c>
      <c r="L56" s="61">
        <f>IF(B56="","",IF(I56&gt;=1.2,"⭐ Star Performer",IF(I56&gt;=1,"✅ At Quota",IF(I56&gt;=0.8,"⚠️ Needs Improvement","🔴 At Risk"))))</f>
        <v/>
      </c>
    </row>
    <row r="57" ht="21.75" customHeight="1" s="46">
      <c r="A57" s="82">
        <f>IF(B57&lt;&gt;"",ROW()-11,"")</f>
        <v/>
      </c>
      <c r="B57" s="64" t="n"/>
      <c r="C57" s="65" t="n"/>
      <c r="D57" s="65" t="n"/>
      <c r="E57" s="65" t="n"/>
      <c r="F57" s="65" t="n"/>
      <c r="G57" s="65" t="n"/>
      <c r="H57" s="66">
        <f>IF(B57="","",D57+E57+F57+G57)</f>
        <v/>
      </c>
      <c r="I57" s="83">
        <f>IFERROR(IF(B57="","",H57/C57),"")</f>
        <v/>
      </c>
      <c r="J57" s="68">
        <f>IF(B57="","",IF(G57&gt;F57,"▲ "&amp;TEXT((G57-F57)/F57,"0.0%"),"▼ "&amp;TEXT((F57-G57)/F57,"0.0%")))</f>
        <v/>
      </c>
      <c r="K57" s="68">
        <f>IFERROR(IF(B57="","",RANK(H57,H$12:H$111,0)),"")</f>
        <v/>
      </c>
      <c r="L57" s="68">
        <f>IF(B57="","",IF(I57&gt;=1.2,"⭐ Star Performer",IF(I57&gt;=1,"✅ At Quota",IF(I57&gt;=0.8,"⚠️ Needs Improvement","🔴 At Risk"))))</f>
        <v/>
      </c>
    </row>
    <row r="58" ht="21.75" customHeight="1" s="46">
      <c r="A58" s="80">
        <f>IF(B58&lt;&gt;"",ROW()-11,"")</f>
        <v/>
      </c>
      <c r="B58" s="57" t="n"/>
      <c r="C58" s="58" t="n"/>
      <c r="D58" s="58" t="n"/>
      <c r="E58" s="58" t="n"/>
      <c r="F58" s="58" t="n"/>
      <c r="G58" s="58" t="n"/>
      <c r="H58" s="59">
        <f>IF(B58="","",D58+E58+F58+G58)</f>
        <v/>
      </c>
      <c r="I58" s="81">
        <f>IFERROR(IF(B58="","",H58/C58),"")</f>
        <v/>
      </c>
      <c r="J58" s="61">
        <f>IF(B58="","",IF(G58&gt;F58,"▲ "&amp;TEXT((G58-F58)/F58,"0.0%"),"▼ "&amp;TEXT((F58-G58)/F58,"0.0%")))</f>
        <v/>
      </c>
      <c r="K58" s="61">
        <f>IFERROR(IF(B58="","",RANK(H58,H$12:H$111,0)),"")</f>
        <v/>
      </c>
      <c r="L58" s="61">
        <f>IF(B58="","",IF(I58&gt;=1.2,"⭐ Star Performer",IF(I58&gt;=1,"✅ At Quota",IF(I58&gt;=0.8,"⚠️ Needs Improvement","🔴 At Risk"))))</f>
        <v/>
      </c>
    </row>
    <row r="59" ht="21.75" customHeight="1" s="46">
      <c r="A59" s="82">
        <f>IF(B59&lt;&gt;"",ROW()-11,"")</f>
        <v/>
      </c>
      <c r="B59" s="64" t="n"/>
      <c r="C59" s="65" t="n"/>
      <c r="D59" s="65" t="n"/>
      <c r="E59" s="65" t="n"/>
      <c r="F59" s="65" t="n"/>
      <c r="G59" s="65" t="n"/>
      <c r="H59" s="66">
        <f>IF(B59="","",D59+E59+F59+G59)</f>
        <v/>
      </c>
      <c r="I59" s="83">
        <f>IFERROR(IF(B59="","",H59/C59),"")</f>
        <v/>
      </c>
      <c r="J59" s="68">
        <f>IF(B59="","",IF(G59&gt;F59,"▲ "&amp;TEXT((G59-F59)/F59,"0.0%"),"▼ "&amp;TEXT((F59-G59)/F59,"0.0%")))</f>
        <v/>
      </c>
      <c r="K59" s="68">
        <f>IFERROR(IF(B59="","",RANK(H59,H$12:H$111,0)),"")</f>
        <v/>
      </c>
      <c r="L59" s="68">
        <f>IF(B59="","",IF(I59&gt;=1.2,"⭐ Star Performer",IF(I59&gt;=1,"✅ At Quota",IF(I59&gt;=0.8,"⚠️ Needs Improvement","🔴 At Risk"))))</f>
        <v/>
      </c>
    </row>
    <row r="60" ht="21.75" customHeight="1" s="46">
      <c r="A60" s="80">
        <f>IF(B60&lt;&gt;"",ROW()-11,"")</f>
        <v/>
      </c>
      <c r="B60" s="57" t="n"/>
      <c r="C60" s="58" t="n"/>
      <c r="D60" s="58" t="n"/>
      <c r="E60" s="58" t="n"/>
      <c r="F60" s="58" t="n"/>
      <c r="G60" s="58" t="n"/>
      <c r="H60" s="59">
        <f>IF(B60="","",D60+E60+F60+G60)</f>
        <v/>
      </c>
      <c r="I60" s="81">
        <f>IFERROR(IF(B60="","",H60/C60),"")</f>
        <v/>
      </c>
      <c r="J60" s="61">
        <f>IF(B60="","",IF(G60&gt;F60,"▲ "&amp;TEXT((G60-F60)/F60,"0.0%"),"▼ "&amp;TEXT((F60-G60)/F60,"0.0%")))</f>
        <v/>
      </c>
      <c r="K60" s="61">
        <f>IFERROR(IF(B60="","",RANK(H60,H$12:H$111,0)),"")</f>
        <v/>
      </c>
      <c r="L60" s="61">
        <f>IF(B60="","",IF(I60&gt;=1.2,"⭐ Star Performer",IF(I60&gt;=1,"✅ At Quota",IF(I60&gt;=0.8,"⚠️ Needs Improvement","🔴 At Risk"))))</f>
        <v/>
      </c>
    </row>
    <row r="61" ht="21.75" customHeight="1" s="46">
      <c r="A61" s="82">
        <f>IF(B61&lt;&gt;"",ROW()-11,"")</f>
        <v/>
      </c>
      <c r="B61" s="64" t="n"/>
      <c r="C61" s="65" t="n"/>
      <c r="D61" s="65" t="n"/>
      <c r="E61" s="65" t="n"/>
      <c r="F61" s="65" t="n"/>
      <c r="G61" s="65" t="n"/>
      <c r="H61" s="66">
        <f>IF(B61="","",D61+E61+F61+G61)</f>
        <v/>
      </c>
      <c r="I61" s="83">
        <f>IFERROR(IF(B61="","",H61/C61),"")</f>
        <v/>
      </c>
      <c r="J61" s="68">
        <f>IF(B61="","",IF(G61&gt;F61,"▲ "&amp;TEXT((G61-F61)/F61,"0.0%"),"▼ "&amp;TEXT((F61-G61)/F61,"0.0%")))</f>
        <v/>
      </c>
      <c r="K61" s="68">
        <f>IFERROR(IF(B61="","",RANK(H61,H$12:H$111,0)),"")</f>
        <v/>
      </c>
      <c r="L61" s="68">
        <f>IF(B61="","",IF(I61&gt;=1.2,"⭐ Star Performer",IF(I61&gt;=1,"✅ At Quota",IF(I61&gt;=0.8,"⚠️ Needs Improvement","🔴 At Risk"))))</f>
        <v/>
      </c>
    </row>
    <row r="62" ht="21.75" customHeight="1" s="46">
      <c r="A62" s="80">
        <f>IF(B62&lt;&gt;"",ROW()-11,"")</f>
        <v/>
      </c>
      <c r="B62" s="57" t="n"/>
      <c r="C62" s="58" t="n"/>
      <c r="D62" s="58" t="n"/>
      <c r="E62" s="58" t="n"/>
      <c r="F62" s="58" t="n"/>
      <c r="G62" s="58" t="n"/>
      <c r="H62" s="59">
        <f>IF(B62="","",D62+E62+F62+G62)</f>
        <v/>
      </c>
      <c r="I62" s="81">
        <f>IFERROR(IF(B62="","",H62/C62),"")</f>
        <v/>
      </c>
      <c r="J62" s="61">
        <f>IF(B62="","",IF(G62&gt;F62,"▲ "&amp;TEXT((G62-F62)/F62,"0.0%"),"▼ "&amp;TEXT((F62-G62)/F62,"0.0%")))</f>
        <v/>
      </c>
      <c r="K62" s="61">
        <f>IFERROR(IF(B62="","",RANK(H62,H$12:H$111,0)),"")</f>
        <v/>
      </c>
      <c r="L62" s="61">
        <f>IF(B62="","",IF(I62&gt;=1.2,"⭐ Star Performer",IF(I62&gt;=1,"✅ At Quota",IF(I62&gt;=0.8,"⚠️ Needs Improvement","🔴 At Risk"))))</f>
        <v/>
      </c>
    </row>
    <row r="63" ht="21.75" customHeight="1" s="46">
      <c r="A63" s="82">
        <f>IF(B63&lt;&gt;"",ROW()-11,"")</f>
        <v/>
      </c>
      <c r="B63" s="64" t="n"/>
      <c r="C63" s="65" t="n"/>
      <c r="D63" s="65" t="n"/>
      <c r="E63" s="65" t="n"/>
      <c r="F63" s="65" t="n"/>
      <c r="G63" s="65" t="n"/>
      <c r="H63" s="66">
        <f>IF(B63="","",D63+E63+F63+G63)</f>
        <v/>
      </c>
      <c r="I63" s="83">
        <f>IFERROR(IF(B63="","",H63/C63),"")</f>
        <v/>
      </c>
      <c r="J63" s="68">
        <f>IF(B63="","",IF(G63&gt;F63,"▲ "&amp;TEXT((G63-F63)/F63,"0.0%"),"▼ "&amp;TEXT((F63-G63)/F63,"0.0%")))</f>
        <v/>
      </c>
      <c r="K63" s="68">
        <f>IFERROR(IF(B63="","",RANK(H63,H$12:H$111,0)),"")</f>
        <v/>
      </c>
      <c r="L63" s="68">
        <f>IF(B63="","",IF(I63&gt;=1.2,"⭐ Star Performer",IF(I63&gt;=1,"✅ At Quota",IF(I63&gt;=0.8,"⚠️ Needs Improvement","🔴 At Risk"))))</f>
        <v/>
      </c>
    </row>
    <row r="64" ht="21.75" customHeight="1" s="46">
      <c r="A64" s="80">
        <f>IF(B64&lt;&gt;"",ROW()-11,"")</f>
        <v/>
      </c>
      <c r="B64" s="57" t="n"/>
      <c r="C64" s="58" t="n"/>
      <c r="D64" s="58" t="n"/>
      <c r="E64" s="58" t="n"/>
      <c r="F64" s="58" t="n"/>
      <c r="G64" s="58" t="n"/>
      <c r="H64" s="59">
        <f>IF(B64="","",D64+E64+F64+G64)</f>
        <v/>
      </c>
      <c r="I64" s="81">
        <f>IFERROR(IF(B64="","",H64/C64),"")</f>
        <v/>
      </c>
      <c r="J64" s="61">
        <f>IF(B64="","",IF(G64&gt;F64,"▲ "&amp;TEXT((G64-F64)/F64,"0.0%"),"▼ "&amp;TEXT((F64-G64)/F64,"0.0%")))</f>
        <v/>
      </c>
      <c r="K64" s="61">
        <f>IFERROR(IF(B64="","",RANK(H64,H$12:H$111,0)),"")</f>
        <v/>
      </c>
      <c r="L64" s="61">
        <f>IF(B64="","",IF(I64&gt;=1.2,"⭐ Star Performer",IF(I64&gt;=1,"✅ At Quota",IF(I64&gt;=0.8,"⚠️ Needs Improvement","🔴 At Risk"))))</f>
        <v/>
      </c>
    </row>
    <row r="65" ht="21.75" customHeight="1" s="46">
      <c r="A65" s="82">
        <f>IF(B65&lt;&gt;"",ROW()-11,"")</f>
        <v/>
      </c>
      <c r="B65" s="64" t="n"/>
      <c r="C65" s="65" t="n"/>
      <c r="D65" s="65" t="n"/>
      <c r="E65" s="65" t="n"/>
      <c r="F65" s="65" t="n"/>
      <c r="G65" s="65" t="n"/>
      <c r="H65" s="66">
        <f>IF(B65="","",D65+E65+F65+G65)</f>
        <v/>
      </c>
      <c r="I65" s="83">
        <f>IFERROR(IF(B65="","",H65/C65),"")</f>
        <v/>
      </c>
      <c r="J65" s="68">
        <f>IF(B65="","",IF(G65&gt;F65,"▲ "&amp;TEXT((G65-F65)/F65,"0.0%"),"▼ "&amp;TEXT((F65-G65)/F65,"0.0%")))</f>
        <v/>
      </c>
      <c r="K65" s="68">
        <f>IFERROR(IF(B65="","",RANK(H65,H$12:H$111,0)),"")</f>
        <v/>
      </c>
      <c r="L65" s="68">
        <f>IF(B65="","",IF(I65&gt;=1.2,"⭐ Star Performer",IF(I65&gt;=1,"✅ At Quota",IF(I65&gt;=0.8,"⚠️ Needs Improvement","🔴 At Risk"))))</f>
        <v/>
      </c>
    </row>
    <row r="66" ht="21.75" customHeight="1" s="46">
      <c r="A66" s="80">
        <f>IF(B66&lt;&gt;"",ROW()-11,"")</f>
        <v/>
      </c>
      <c r="B66" s="57" t="n"/>
      <c r="C66" s="58" t="n"/>
      <c r="D66" s="58" t="n"/>
      <c r="E66" s="58" t="n"/>
      <c r="F66" s="58" t="n"/>
      <c r="G66" s="58" t="n"/>
      <c r="H66" s="59">
        <f>IF(B66="","",D66+E66+F66+G66)</f>
        <v/>
      </c>
      <c r="I66" s="81">
        <f>IFERROR(IF(B66="","",H66/C66),"")</f>
        <v/>
      </c>
      <c r="J66" s="61">
        <f>IF(B66="","",IF(G66&gt;F66,"▲ "&amp;TEXT((G66-F66)/F66,"0.0%"),"▼ "&amp;TEXT((F66-G66)/F66,"0.0%")))</f>
        <v/>
      </c>
      <c r="K66" s="61">
        <f>IFERROR(IF(B66="","",RANK(H66,H$12:H$111,0)),"")</f>
        <v/>
      </c>
      <c r="L66" s="61">
        <f>IF(B66="","",IF(I66&gt;=1.2,"⭐ Star Performer",IF(I66&gt;=1,"✅ At Quota",IF(I66&gt;=0.8,"⚠️ Needs Improvement","🔴 At Risk"))))</f>
        <v/>
      </c>
    </row>
    <row r="67" ht="21.75" customHeight="1" s="46">
      <c r="A67" s="82">
        <f>IF(B67&lt;&gt;"",ROW()-11,"")</f>
        <v/>
      </c>
      <c r="B67" s="64" t="n"/>
      <c r="C67" s="65" t="n"/>
      <c r="D67" s="65" t="n"/>
      <c r="E67" s="65" t="n"/>
      <c r="F67" s="65" t="n"/>
      <c r="G67" s="65" t="n"/>
      <c r="H67" s="66">
        <f>IF(B67="","",D67+E67+F67+G67)</f>
        <v/>
      </c>
      <c r="I67" s="83">
        <f>IFERROR(IF(B67="","",H67/C67),"")</f>
        <v/>
      </c>
      <c r="J67" s="68">
        <f>IF(B67="","",IF(G67&gt;F67,"▲ "&amp;TEXT((G67-F67)/F67,"0.0%"),"▼ "&amp;TEXT((F67-G67)/F67,"0.0%")))</f>
        <v/>
      </c>
      <c r="K67" s="68">
        <f>IFERROR(IF(B67="","",RANK(H67,H$12:H$111,0)),"")</f>
        <v/>
      </c>
      <c r="L67" s="68">
        <f>IF(B67="","",IF(I67&gt;=1.2,"⭐ Star Performer",IF(I67&gt;=1,"✅ At Quota",IF(I67&gt;=0.8,"⚠️ Needs Improvement","🔴 At Risk"))))</f>
        <v/>
      </c>
    </row>
    <row r="68" ht="21.75" customHeight="1" s="46">
      <c r="A68" s="80">
        <f>IF(B68&lt;&gt;"",ROW()-11,"")</f>
        <v/>
      </c>
      <c r="B68" s="57" t="n"/>
      <c r="C68" s="58" t="n"/>
      <c r="D68" s="58" t="n"/>
      <c r="E68" s="58" t="n"/>
      <c r="F68" s="58" t="n"/>
      <c r="G68" s="58" t="n"/>
      <c r="H68" s="59">
        <f>IF(B68="","",D68+E68+F68+G68)</f>
        <v/>
      </c>
      <c r="I68" s="81">
        <f>IFERROR(IF(B68="","",H68/C68),"")</f>
        <v/>
      </c>
      <c r="J68" s="61">
        <f>IF(B68="","",IF(G68&gt;F68,"▲ "&amp;TEXT((G68-F68)/F68,"0.0%"),"▼ "&amp;TEXT((F68-G68)/F68,"0.0%")))</f>
        <v/>
      </c>
      <c r="K68" s="61">
        <f>IFERROR(IF(B68="","",RANK(H68,H$12:H$111,0)),"")</f>
        <v/>
      </c>
      <c r="L68" s="61">
        <f>IF(B68="","",IF(I68&gt;=1.2,"⭐ Star Performer",IF(I68&gt;=1,"✅ At Quota",IF(I68&gt;=0.8,"⚠️ Needs Improvement","🔴 At Risk"))))</f>
        <v/>
      </c>
    </row>
    <row r="69" ht="21.75" customHeight="1" s="46">
      <c r="A69" s="82">
        <f>IF(B69&lt;&gt;"",ROW()-11,"")</f>
        <v/>
      </c>
      <c r="B69" s="64" t="n"/>
      <c r="C69" s="65" t="n"/>
      <c r="D69" s="65" t="n"/>
      <c r="E69" s="65" t="n"/>
      <c r="F69" s="65" t="n"/>
      <c r="G69" s="65" t="n"/>
      <c r="H69" s="66">
        <f>IF(B69="","",D69+E69+F69+G69)</f>
        <v/>
      </c>
      <c r="I69" s="83">
        <f>IFERROR(IF(B69="","",H69/C69),"")</f>
        <v/>
      </c>
      <c r="J69" s="68">
        <f>IF(B69="","",IF(G69&gt;F69,"▲ "&amp;TEXT((G69-F69)/F69,"0.0%"),"▼ "&amp;TEXT((F69-G69)/F69,"0.0%")))</f>
        <v/>
      </c>
      <c r="K69" s="68">
        <f>IFERROR(IF(B69="","",RANK(H69,H$12:H$111,0)),"")</f>
        <v/>
      </c>
      <c r="L69" s="68">
        <f>IF(B69="","",IF(I69&gt;=1.2,"⭐ Star Performer",IF(I69&gt;=1,"✅ At Quota",IF(I69&gt;=0.8,"⚠️ Needs Improvement","🔴 At Risk"))))</f>
        <v/>
      </c>
    </row>
    <row r="70" ht="21.75" customHeight="1" s="46">
      <c r="A70" s="80">
        <f>IF(B70&lt;&gt;"",ROW()-11,"")</f>
        <v/>
      </c>
      <c r="B70" s="57" t="n"/>
      <c r="C70" s="58" t="n"/>
      <c r="D70" s="58" t="n"/>
      <c r="E70" s="58" t="n"/>
      <c r="F70" s="58" t="n"/>
      <c r="G70" s="58" t="n"/>
      <c r="H70" s="59">
        <f>IF(B70="","",D70+E70+F70+G70)</f>
        <v/>
      </c>
      <c r="I70" s="81">
        <f>IFERROR(IF(B70="","",H70/C70),"")</f>
        <v/>
      </c>
      <c r="J70" s="61">
        <f>IF(B70="","",IF(G70&gt;F70,"▲ "&amp;TEXT((G70-F70)/F70,"0.0%"),"▼ "&amp;TEXT((F70-G70)/F70,"0.0%")))</f>
        <v/>
      </c>
      <c r="K70" s="61">
        <f>IFERROR(IF(B70="","",RANK(H70,H$12:H$111,0)),"")</f>
        <v/>
      </c>
      <c r="L70" s="61">
        <f>IF(B70="","",IF(I70&gt;=1.2,"⭐ Star Performer",IF(I70&gt;=1,"✅ At Quota",IF(I70&gt;=0.8,"⚠️ Needs Improvement","🔴 At Risk"))))</f>
        <v/>
      </c>
    </row>
    <row r="71" ht="21.75" customHeight="1" s="46">
      <c r="A71" s="82">
        <f>IF(B71&lt;&gt;"",ROW()-11,"")</f>
        <v/>
      </c>
      <c r="B71" s="64" t="n"/>
      <c r="C71" s="65" t="n"/>
      <c r="D71" s="65" t="n"/>
      <c r="E71" s="65" t="n"/>
      <c r="F71" s="65" t="n"/>
      <c r="G71" s="65" t="n"/>
      <c r="H71" s="66">
        <f>IF(B71="","",D71+E71+F71+G71)</f>
        <v/>
      </c>
      <c r="I71" s="83">
        <f>IFERROR(IF(B71="","",H71/C71),"")</f>
        <v/>
      </c>
      <c r="J71" s="68">
        <f>IF(B71="","",IF(G71&gt;F71,"▲ "&amp;TEXT((G71-F71)/F71,"0.0%"),"▼ "&amp;TEXT((F71-G71)/F71,"0.0%")))</f>
        <v/>
      </c>
      <c r="K71" s="68">
        <f>IFERROR(IF(B71="","",RANK(H71,H$12:H$111,0)),"")</f>
        <v/>
      </c>
      <c r="L71" s="68">
        <f>IF(B71="","",IF(I71&gt;=1.2,"⭐ Star Performer",IF(I71&gt;=1,"✅ At Quota",IF(I71&gt;=0.8,"⚠️ Needs Improvement","🔴 At Risk"))))</f>
        <v/>
      </c>
    </row>
    <row r="72" ht="21.75" customHeight="1" s="46">
      <c r="A72" s="80">
        <f>IF(B72&lt;&gt;"",ROW()-11,"")</f>
        <v/>
      </c>
      <c r="B72" s="57" t="n"/>
      <c r="C72" s="58" t="n"/>
      <c r="D72" s="58" t="n"/>
      <c r="E72" s="58" t="n"/>
      <c r="F72" s="58" t="n"/>
      <c r="G72" s="58" t="n"/>
      <c r="H72" s="59">
        <f>IF(B72="","",D72+E72+F72+G72)</f>
        <v/>
      </c>
      <c r="I72" s="81">
        <f>IFERROR(IF(B72="","",H72/C72),"")</f>
        <v/>
      </c>
      <c r="J72" s="61">
        <f>IF(B72="","",IF(G72&gt;F72,"▲ "&amp;TEXT((G72-F72)/F72,"0.0%"),"▼ "&amp;TEXT((F72-G72)/F72,"0.0%")))</f>
        <v/>
      </c>
      <c r="K72" s="61">
        <f>IFERROR(IF(B72="","",RANK(H72,H$12:H$111,0)),"")</f>
        <v/>
      </c>
      <c r="L72" s="61">
        <f>IF(B72="","",IF(I72&gt;=1.2,"⭐ Star Performer",IF(I72&gt;=1,"✅ At Quota",IF(I72&gt;=0.8,"⚠️ Needs Improvement","🔴 At Risk"))))</f>
        <v/>
      </c>
    </row>
    <row r="73" ht="21.75" customHeight="1" s="46">
      <c r="A73" s="82">
        <f>IF(B73&lt;&gt;"",ROW()-11,"")</f>
        <v/>
      </c>
      <c r="B73" s="64" t="n"/>
      <c r="C73" s="65" t="n"/>
      <c r="D73" s="65" t="n"/>
      <c r="E73" s="65" t="n"/>
      <c r="F73" s="65" t="n"/>
      <c r="G73" s="65" t="n"/>
      <c r="H73" s="66">
        <f>IF(B73="","",D73+E73+F73+G73)</f>
        <v/>
      </c>
      <c r="I73" s="83">
        <f>IFERROR(IF(B73="","",H73/C73),"")</f>
        <v/>
      </c>
      <c r="J73" s="68">
        <f>IF(B73="","",IF(G73&gt;F73,"▲ "&amp;TEXT((G73-F73)/F73,"0.0%"),"▼ "&amp;TEXT((F73-G73)/F73,"0.0%")))</f>
        <v/>
      </c>
      <c r="K73" s="68">
        <f>IFERROR(IF(B73="","",RANK(H73,H$12:H$111,0)),"")</f>
        <v/>
      </c>
      <c r="L73" s="68">
        <f>IF(B73="","",IF(I73&gt;=1.2,"⭐ Star Performer",IF(I73&gt;=1,"✅ At Quota",IF(I73&gt;=0.8,"⚠️ Needs Improvement","🔴 At Risk"))))</f>
        <v/>
      </c>
    </row>
    <row r="74" ht="21.75" customHeight="1" s="46">
      <c r="A74" s="80">
        <f>IF(B74&lt;&gt;"",ROW()-11,"")</f>
        <v/>
      </c>
      <c r="B74" s="57" t="n"/>
      <c r="C74" s="58" t="n"/>
      <c r="D74" s="58" t="n"/>
      <c r="E74" s="58" t="n"/>
      <c r="F74" s="58" t="n"/>
      <c r="G74" s="58" t="n"/>
      <c r="H74" s="59">
        <f>IF(B74="","",D74+E74+F74+G74)</f>
        <v/>
      </c>
      <c r="I74" s="81">
        <f>IFERROR(IF(B74="","",H74/C74),"")</f>
        <v/>
      </c>
      <c r="J74" s="61">
        <f>IF(B74="","",IF(G74&gt;F74,"▲ "&amp;TEXT((G74-F74)/F74,"0.0%"),"▼ "&amp;TEXT((F74-G74)/F74,"0.0%")))</f>
        <v/>
      </c>
      <c r="K74" s="61">
        <f>IFERROR(IF(B74="","",RANK(H74,H$12:H$111,0)),"")</f>
        <v/>
      </c>
      <c r="L74" s="61">
        <f>IF(B74="","",IF(I74&gt;=1.2,"⭐ Star Performer",IF(I74&gt;=1,"✅ At Quota",IF(I74&gt;=0.8,"⚠️ Needs Improvement","🔴 At Risk"))))</f>
        <v/>
      </c>
    </row>
    <row r="75" ht="21.75" customHeight="1" s="46">
      <c r="A75" s="82">
        <f>IF(B75&lt;&gt;"",ROW()-11,"")</f>
        <v/>
      </c>
      <c r="B75" s="64" t="n"/>
      <c r="C75" s="65" t="n"/>
      <c r="D75" s="65" t="n"/>
      <c r="E75" s="65" t="n"/>
      <c r="F75" s="65" t="n"/>
      <c r="G75" s="65" t="n"/>
      <c r="H75" s="66">
        <f>IF(B75="","",D75+E75+F75+G75)</f>
        <v/>
      </c>
      <c r="I75" s="83">
        <f>IFERROR(IF(B75="","",H75/C75),"")</f>
        <v/>
      </c>
      <c r="J75" s="68">
        <f>IF(B75="","",IF(G75&gt;F75,"▲ "&amp;TEXT((G75-F75)/F75,"0.0%"),"▼ "&amp;TEXT((F75-G75)/F75,"0.0%")))</f>
        <v/>
      </c>
      <c r="K75" s="68">
        <f>IFERROR(IF(B75="","",RANK(H75,H$12:H$111,0)),"")</f>
        <v/>
      </c>
      <c r="L75" s="68">
        <f>IF(B75="","",IF(I75&gt;=1.2,"⭐ Star Performer",IF(I75&gt;=1,"✅ At Quota",IF(I75&gt;=0.8,"⚠️ Needs Improvement","🔴 At Risk"))))</f>
        <v/>
      </c>
    </row>
    <row r="76" ht="21.75" customHeight="1" s="46">
      <c r="A76" s="80">
        <f>IF(B76&lt;&gt;"",ROW()-11,"")</f>
        <v/>
      </c>
      <c r="B76" s="57" t="n"/>
      <c r="C76" s="58" t="n"/>
      <c r="D76" s="58" t="n"/>
      <c r="E76" s="58" t="n"/>
      <c r="F76" s="58" t="n"/>
      <c r="G76" s="58" t="n"/>
      <c r="H76" s="59">
        <f>IF(B76="","",D76+E76+F76+G76)</f>
        <v/>
      </c>
      <c r="I76" s="81">
        <f>IFERROR(IF(B76="","",H76/C76),"")</f>
        <v/>
      </c>
      <c r="J76" s="61">
        <f>IF(B76="","",IF(G76&gt;F76,"▲ "&amp;TEXT((G76-F76)/F76,"0.0%"),"▼ "&amp;TEXT((F76-G76)/F76,"0.0%")))</f>
        <v/>
      </c>
      <c r="K76" s="61">
        <f>IFERROR(IF(B76="","",RANK(H76,H$12:H$111,0)),"")</f>
        <v/>
      </c>
      <c r="L76" s="61">
        <f>IF(B76="","",IF(I76&gt;=1.2,"⭐ Star Performer",IF(I76&gt;=1,"✅ At Quota",IF(I76&gt;=0.8,"⚠️ Needs Improvement","🔴 At Risk"))))</f>
        <v/>
      </c>
    </row>
    <row r="77" ht="21.75" customHeight="1" s="46">
      <c r="A77" s="82">
        <f>IF(B77&lt;&gt;"",ROW()-11,"")</f>
        <v/>
      </c>
      <c r="B77" s="64" t="n"/>
      <c r="C77" s="65" t="n"/>
      <c r="D77" s="65" t="n"/>
      <c r="E77" s="65" t="n"/>
      <c r="F77" s="65" t="n"/>
      <c r="G77" s="65" t="n"/>
      <c r="H77" s="66">
        <f>IF(B77="","",D77+E77+F77+G77)</f>
        <v/>
      </c>
      <c r="I77" s="83">
        <f>IFERROR(IF(B77="","",H77/C77),"")</f>
        <v/>
      </c>
      <c r="J77" s="68">
        <f>IF(B77="","",IF(G77&gt;F77,"▲ "&amp;TEXT((G77-F77)/F77,"0.0%"),"▼ "&amp;TEXT((F77-G77)/F77,"0.0%")))</f>
        <v/>
      </c>
      <c r="K77" s="68">
        <f>IFERROR(IF(B77="","",RANK(H77,H$12:H$111,0)),"")</f>
        <v/>
      </c>
      <c r="L77" s="68">
        <f>IF(B77="","",IF(I77&gt;=1.2,"⭐ Star Performer",IF(I77&gt;=1,"✅ At Quota",IF(I77&gt;=0.8,"⚠️ Needs Improvement","🔴 At Risk"))))</f>
        <v/>
      </c>
    </row>
    <row r="78" ht="21.75" customHeight="1" s="46">
      <c r="A78" s="80">
        <f>IF(B78&lt;&gt;"",ROW()-11,"")</f>
        <v/>
      </c>
      <c r="B78" s="57" t="n"/>
      <c r="C78" s="58" t="n"/>
      <c r="D78" s="58" t="n"/>
      <c r="E78" s="58" t="n"/>
      <c r="F78" s="58" t="n"/>
      <c r="G78" s="58" t="n"/>
      <c r="H78" s="59">
        <f>IF(B78="","",D78+E78+F78+G78)</f>
        <v/>
      </c>
      <c r="I78" s="81">
        <f>IFERROR(IF(B78="","",H78/C78),"")</f>
        <v/>
      </c>
      <c r="J78" s="61">
        <f>IF(B78="","",IF(G78&gt;F78,"▲ "&amp;TEXT((G78-F78)/F78,"0.0%"),"▼ "&amp;TEXT((F78-G78)/F78,"0.0%")))</f>
        <v/>
      </c>
      <c r="K78" s="61">
        <f>IFERROR(IF(B78="","",RANK(H78,H$12:H$111,0)),"")</f>
        <v/>
      </c>
      <c r="L78" s="61">
        <f>IF(B78="","",IF(I78&gt;=1.2,"⭐ Star Performer",IF(I78&gt;=1,"✅ At Quota",IF(I78&gt;=0.8,"⚠️ Needs Improvement","🔴 At Risk"))))</f>
        <v/>
      </c>
    </row>
    <row r="79" ht="21.75" customHeight="1" s="46">
      <c r="A79" s="82">
        <f>IF(B79&lt;&gt;"",ROW()-11,"")</f>
        <v/>
      </c>
      <c r="B79" s="64" t="n"/>
      <c r="C79" s="65" t="n"/>
      <c r="D79" s="65" t="n"/>
      <c r="E79" s="65" t="n"/>
      <c r="F79" s="65" t="n"/>
      <c r="G79" s="65" t="n"/>
      <c r="H79" s="66">
        <f>IF(B79="","",D79+E79+F79+G79)</f>
        <v/>
      </c>
      <c r="I79" s="83">
        <f>IFERROR(IF(B79="","",H79/C79),"")</f>
        <v/>
      </c>
      <c r="J79" s="68">
        <f>IF(B79="","",IF(G79&gt;F79,"▲ "&amp;TEXT((G79-F79)/F79,"0.0%"),"▼ "&amp;TEXT((F79-G79)/F79,"0.0%")))</f>
        <v/>
      </c>
      <c r="K79" s="68">
        <f>IFERROR(IF(B79="","",RANK(H79,H$12:H$111,0)),"")</f>
        <v/>
      </c>
      <c r="L79" s="68">
        <f>IF(B79="","",IF(I79&gt;=1.2,"⭐ Star Performer",IF(I79&gt;=1,"✅ At Quota",IF(I79&gt;=0.8,"⚠️ Needs Improvement","🔴 At Risk"))))</f>
        <v/>
      </c>
    </row>
    <row r="80" ht="21.75" customHeight="1" s="46">
      <c r="A80" s="80">
        <f>IF(B80&lt;&gt;"",ROW()-11,"")</f>
        <v/>
      </c>
      <c r="B80" s="57" t="n"/>
      <c r="C80" s="58" t="n"/>
      <c r="D80" s="58" t="n"/>
      <c r="E80" s="58" t="n"/>
      <c r="F80" s="58" t="n"/>
      <c r="G80" s="58" t="n"/>
      <c r="H80" s="59">
        <f>IF(B80="","",D80+E80+F80+G80)</f>
        <v/>
      </c>
      <c r="I80" s="81">
        <f>IFERROR(IF(B80="","",H80/C80),"")</f>
        <v/>
      </c>
      <c r="J80" s="61">
        <f>IF(B80="","",IF(G80&gt;F80,"▲ "&amp;TEXT((G80-F80)/F80,"0.0%"),"▼ "&amp;TEXT((F80-G80)/F80,"0.0%")))</f>
        <v/>
      </c>
      <c r="K80" s="61">
        <f>IFERROR(IF(B80="","",RANK(H80,H$12:H$111,0)),"")</f>
        <v/>
      </c>
      <c r="L80" s="61">
        <f>IF(B80="","",IF(I80&gt;=1.2,"⭐ Star Performer",IF(I80&gt;=1,"✅ At Quota",IF(I80&gt;=0.8,"⚠️ Needs Improvement","🔴 At Risk"))))</f>
        <v/>
      </c>
    </row>
    <row r="81" ht="21.75" customHeight="1" s="46">
      <c r="A81" s="82">
        <f>IF(B81&lt;&gt;"",ROW()-11,"")</f>
        <v/>
      </c>
      <c r="B81" s="64" t="n"/>
      <c r="C81" s="65" t="n"/>
      <c r="D81" s="65" t="n"/>
      <c r="E81" s="65" t="n"/>
      <c r="F81" s="65" t="n"/>
      <c r="G81" s="65" t="n"/>
      <c r="H81" s="66">
        <f>IF(B81="","",D81+E81+F81+G81)</f>
        <v/>
      </c>
      <c r="I81" s="83">
        <f>IFERROR(IF(B81="","",H81/C81),"")</f>
        <v/>
      </c>
      <c r="J81" s="68">
        <f>IF(B81="","",IF(G81&gt;F81,"▲ "&amp;TEXT((G81-F81)/F81,"0.0%"),"▼ "&amp;TEXT((F81-G81)/F81,"0.0%")))</f>
        <v/>
      </c>
      <c r="K81" s="68">
        <f>IFERROR(IF(B81="","",RANK(H81,H$12:H$111,0)),"")</f>
        <v/>
      </c>
      <c r="L81" s="68">
        <f>IF(B81="","",IF(I81&gt;=1.2,"⭐ Star Performer",IF(I81&gt;=1,"✅ At Quota",IF(I81&gt;=0.8,"⚠️ Needs Improvement","🔴 At Risk"))))</f>
        <v/>
      </c>
    </row>
    <row r="82" ht="21.75" customHeight="1" s="46">
      <c r="A82" s="80">
        <f>IF(B82&lt;&gt;"",ROW()-11,"")</f>
        <v/>
      </c>
      <c r="B82" s="57" t="n"/>
      <c r="C82" s="58" t="n"/>
      <c r="D82" s="58" t="n"/>
      <c r="E82" s="58" t="n"/>
      <c r="F82" s="58" t="n"/>
      <c r="G82" s="58" t="n"/>
      <c r="H82" s="59">
        <f>IF(B82="","",D82+E82+F82+G82)</f>
        <v/>
      </c>
      <c r="I82" s="81">
        <f>IFERROR(IF(B82="","",H82/C82),"")</f>
        <v/>
      </c>
      <c r="J82" s="61">
        <f>IF(B82="","",IF(G82&gt;F82,"▲ "&amp;TEXT((G82-F82)/F82,"0.0%"),"▼ "&amp;TEXT((F82-G82)/F82,"0.0%")))</f>
        <v/>
      </c>
      <c r="K82" s="61">
        <f>IFERROR(IF(B82="","",RANK(H82,H$12:H$111,0)),"")</f>
        <v/>
      </c>
      <c r="L82" s="61">
        <f>IF(B82="","",IF(I82&gt;=1.2,"⭐ Star Performer",IF(I82&gt;=1,"✅ At Quota",IF(I82&gt;=0.8,"⚠️ Needs Improvement","🔴 At Risk"))))</f>
        <v/>
      </c>
    </row>
    <row r="83" ht="21.75" customHeight="1" s="46">
      <c r="A83" s="82">
        <f>IF(B83&lt;&gt;"",ROW()-11,"")</f>
        <v/>
      </c>
      <c r="B83" s="64" t="n"/>
      <c r="C83" s="65" t="n"/>
      <c r="D83" s="65" t="n"/>
      <c r="E83" s="65" t="n"/>
      <c r="F83" s="65" t="n"/>
      <c r="G83" s="65" t="n"/>
      <c r="H83" s="66">
        <f>IF(B83="","",D83+E83+F83+G83)</f>
        <v/>
      </c>
      <c r="I83" s="83">
        <f>IFERROR(IF(B83="","",H83/C83),"")</f>
        <v/>
      </c>
      <c r="J83" s="68">
        <f>IF(B83="","",IF(G83&gt;F83,"▲ "&amp;TEXT((G83-F83)/F83,"0.0%"),"▼ "&amp;TEXT((F83-G83)/F83,"0.0%")))</f>
        <v/>
      </c>
      <c r="K83" s="68">
        <f>IFERROR(IF(B83="","",RANK(H83,H$12:H$111,0)),"")</f>
        <v/>
      </c>
      <c r="L83" s="68">
        <f>IF(B83="","",IF(I83&gt;=1.2,"⭐ Star Performer",IF(I83&gt;=1,"✅ At Quota",IF(I83&gt;=0.8,"⚠️ Needs Improvement","🔴 At Risk"))))</f>
        <v/>
      </c>
    </row>
    <row r="84" ht="21.75" customHeight="1" s="46">
      <c r="A84" s="80">
        <f>IF(B84&lt;&gt;"",ROW()-11,"")</f>
        <v/>
      </c>
      <c r="B84" s="57" t="n"/>
      <c r="C84" s="58" t="n"/>
      <c r="D84" s="58" t="n"/>
      <c r="E84" s="58" t="n"/>
      <c r="F84" s="58" t="n"/>
      <c r="G84" s="58" t="n"/>
      <c r="H84" s="59">
        <f>IF(B84="","",D84+E84+F84+G84)</f>
        <v/>
      </c>
      <c r="I84" s="81">
        <f>IFERROR(IF(B84="","",H84/C84),"")</f>
        <v/>
      </c>
      <c r="J84" s="61">
        <f>IF(B84="","",IF(G84&gt;F84,"▲ "&amp;TEXT((G84-F84)/F84,"0.0%"),"▼ "&amp;TEXT((F84-G84)/F84,"0.0%")))</f>
        <v/>
      </c>
      <c r="K84" s="61">
        <f>IFERROR(IF(B84="","",RANK(H84,H$12:H$111,0)),"")</f>
        <v/>
      </c>
      <c r="L84" s="61">
        <f>IF(B84="","",IF(I84&gt;=1.2,"⭐ Star Performer",IF(I84&gt;=1,"✅ At Quota",IF(I84&gt;=0.8,"⚠️ Needs Improvement","🔴 At Risk"))))</f>
        <v/>
      </c>
    </row>
    <row r="85" ht="21.75" customHeight="1" s="46">
      <c r="A85" s="82">
        <f>IF(B85&lt;&gt;"",ROW()-11,"")</f>
        <v/>
      </c>
      <c r="B85" s="64" t="n"/>
      <c r="C85" s="65" t="n"/>
      <c r="D85" s="65" t="n"/>
      <c r="E85" s="65" t="n"/>
      <c r="F85" s="65" t="n"/>
      <c r="G85" s="65" t="n"/>
      <c r="H85" s="66">
        <f>IF(B85="","",D85+E85+F85+G85)</f>
        <v/>
      </c>
      <c r="I85" s="83">
        <f>IFERROR(IF(B85="","",H85/C85),"")</f>
        <v/>
      </c>
      <c r="J85" s="68">
        <f>IF(B85="","",IF(G85&gt;F85,"▲ "&amp;TEXT((G85-F85)/F85,"0.0%"),"▼ "&amp;TEXT((F85-G85)/F85,"0.0%")))</f>
        <v/>
      </c>
      <c r="K85" s="68">
        <f>IFERROR(IF(B85="","",RANK(H85,H$12:H$111,0)),"")</f>
        <v/>
      </c>
      <c r="L85" s="68">
        <f>IF(B85="","",IF(I85&gt;=1.2,"⭐ Star Performer",IF(I85&gt;=1,"✅ At Quota",IF(I85&gt;=0.8,"⚠️ Needs Improvement","🔴 At Risk"))))</f>
        <v/>
      </c>
    </row>
    <row r="86" ht="21.75" customHeight="1" s="46">
      <c r="A86" s="80">
        <f>IF(B86&lt;&gt;"",ROW()-11,"")</f>
        <v/>
      </c>
      <c r="B86" s="57" t="n"/>
      <c r="C86" s="58" t="n"/>
      <c r="D86" s="58" t="n"/>
      <c r="E86" s="58" t="n"/>
      <c r="F86" s="58" t="n"/>
      <c r="G86" s="58" t="n"/>
      <c r="H86" s="59">
        <f>IF(B86="","",D86+E86+F86+G86)</f>
        <v/>
      </c>
      <c r="I86" s="81">
        <f>IFERROR(IF(B86="","",H86/C86),"")</f>
        <v/>
      </c>
      <c r="J86" s="61">
        <f>IF(B86="","",IF(G86&gt;F86,"▲ "&amp;TEXT((G86-F86)/F86,"0.0%"),"▼ "&amp;TEXT((F86-G86)/F86,"0.0%")))</f>
        <v/>
      </c>
      <c r="K86" s="61">
        <f>IFERROR(IF(B86="","",RANK(H86,H$12:H$111,0)),"")</f>
        <v/>
      </c>
      <c r="L86" s="61">
        <f>IF(B86="","",IF(I86&gt;=1.2,"⭐ Star Performer",IF(I86&gt;=1,"✅ At Quota",IF(I86&gt;=0.8,"⚠️ Needs Improvement","🔴 At Risk"))))</f>
        <v/>
      </c>
    </row>
    <row r="87" ht="21.75" customHeight="1" s="46">
      <c r="A87" s="82">
        <f>IF(B87&lt;&gt;"",ROW()-11,"")</f>
        <v/>
      </c>
      <c r="B87" s="64" t="n"/>
      <c r="C87" s="65" t="n"/>
      <c r="D87" s="65" t="n"/>
      <c r="E87" s="65" t="n"/>
      <c r="F87" s="65" t="n"/>
      <c r="G87" s="65" t="n"/>
      <c r="H87" s="66">
        <f>IF(B87="","",D87+E87+F87+G87)</f>
        <v/>
      </c>
      <c r="I87" s="83">
        <f>IFERROR(IF(B87="","",H87/C87),"")</f>
        <v/>
      </c>
      <c r="J87" s="68">
        <f>IF(B87="","",IF(G87&gt;F87,"▲ "&amp;TEXT((G87-F87)/F87,"0.0%"),"▼ "&amp;TEXT((F87-G87)/F87,"0.0%")))</f>
        <v/>
      </c>
      <c r="K87" s="68">
        <f>IFERROR(IF(B87="","",RANK(H87,H$12:H$111,0)),"")</f>
        <v/>
      </c>
      <c r="L87" s="68">
        <f>IF(B87="","",IF(I87&gt;=1.2,"⭐ Star Performer",IF(I87&gt;=1,"✅ At Quota",IF(I87&gt;=0.8,"⚠️ Needs Improvement","🔴 At Risk"))))</f>
        <v/>
      </c>
    </row>
    <row r="88" ht="21.75" customHeight="1" s="46">
      <c r="A88" s="80">
        <f>IF(B88&lt;&gt;"",ROW()-11,"")</f>
        <v/>
      </c>
      <c r="B88" s="57" t="n"/>
      <c r="C88" s="58" t="n"/>
      <c r="D88" s="58" t="n"/>
      <c r="E88" s="58" t="n"/>
      <c r="F88" s="58" t="n"/>
      <c r="G88" s="58" t="n"/>
      <c r="H88" s="59">
        <f>IF(B88="","",D88+E88+F88+G88)</f>
        <v/>
      </c>
      <c r="I88" s="81">
        <f>IFERROR(IF(B88="","",H88/C88),"")</f>
        <v/>
      </c>
      <c r="J88" s="61">
        <f>IF(B88="","",IF(G88&gt;F88,"▲ "&amp;TEXT((G88-F88)/F88,"0.0%"),"▼ "&amp;TEXT((F88-G88)/F88,"0.0%")))</f>
        <v/>
      </c>
      <c r="K88" s="61">
        <f>IFERROR(IF(B88="","",RANK(H88,H$12:H$111,0)),"")</f>
        <v/>
      </c>
      <c r="L88" s="61">
        <f>IF(B88="","",IF(I88&gt;=1.2,"⭐ Star Performer",IF(I88&gt;=1,"✅ At Quota",IF(I88&gt;=0.8,"⚠️ Needs Improvement","🔴 At Risk"))))</f>
        <v/>
      </c>
    </row>
    <row r="89" ht="21.75" customHeight="1" s="46">
      <c r="A89" s="82">
        <f>IF(B89&lt;&gt;"",ROW()-11,"")</f>
        <v/>
      </c>
      <c r="B89" s="64" t="n"/>
      <c r="C89" s="65" t="n"/>
      <c r="D89" s="65" t="n"/>
      <c r="E89" s="65" t="n"/>
      <c r="F89" s="65" t="n"/>
      <c r="G89" s="65" t="n"/>
      <c r="H89" s="66">
        <f>IF(B89="","",D89+E89+F89+G89)</f>
        <v/>
      </c>
      <c r="I89" s="83">
        <f>IFERROR(IF(B89="","",H89/C89),"")</f>
        <v/>
      </c>
      <c r="J89" s="68">
        <f>IF(B89="","",IF(G89&gt;F89,"▲ "&amp;TEXT((G89-F89)/F89,"0.0%"),"▼ "&amp;TEXT((F89-G89)/F89,"0.0%")))</f>
        <v/>
      </c>
      <c r="K89" s="68">
        <f>IFERROR(IF(B89="","",RANK(H89,H$12:H$111,0)),"")</f>
        <v/>
      </c>
      <c r="L89" s="68">
        <f>IF(B89="","",IF(I89&gt;=1.2,"⭐ Star Performer",IF(I89&gt;=1,"✅ At Quota",IF(I89&gt;=0.8,"⚠️ Needs Improvement","🔴 At Risk"))))</f>
        <v/>
      </c>
    </row>
    <row r="90" ht="21.75" customHeight="1" s="46">
      <c r="A90" s="80">
        <f>IF(B90&lt;&gt;"",ROW()-11,"")</f>
        <v/>
      </c>
      <c r="B90" s="57" t="n"/>
      <c r="C90" s="58" t="n"/>
      <c r="D90" s="58" t="n"/>
      <c r="E90" s="58" t="n"/>
      <c r="F90" s="58" t="n"/>
      <c r="G90" s="58" t="n"/>
      <c r="H90" s="59">
        <f>IF(B90="","",D90+E90+F90+G90)</f>
        <v/>
      </c>
      <c r="I90" s="81">
        <f>IFERROR(IF(B90="","",H90/C90),"")</f>
        <v/>
      </c>
      <c r="J90" s="61">
        <f>IF(B90="","",IF(G90&gt;F90,"▲ "&amp;TEXT((G90-F90)/F90,"0.0%"),"▼ "&amp;TEXT((F90-G90)/F90,"0.0%")))</f>
        <v/>
      </c>
      <c r="K90" s="61">
        <f>IFERROR(IF(B90="","",RANK(H90,H$12:H$111,0)),"")</f>
        <v/>
      </c>
      <c r="L90" s="61">
        <f>IF(B90="","",IF(I90&gt;=1.2,"⭐ Star Performer",IF(I90&gt;=1,"✅ At Quota",IF(I90&gt;=0.8,"⚠️ Needs Improvement","🔴 At Risk"))))</f>
        <v/>
      </c>
    </row>
    <row r="91" ht="21.75" customHeight="1" s="46">
      <c r="A91" s="82">
        <f>IF(B91&lt;&gt;"",ROW()-11,"")</f>
        <v/>
      </c>
      <c r="B91" s="64" t="n"/>
      <c r="C91" s="65" t="n"/>
      <c r="D91" s="65" t="n"/>
      <c r="E91" s="65" t="n"/>
      <c r="F91" s="65" t="n"/>
      <c r="G91" s="65" t="n"/>
      <c r="H91" s="66">
        <f>IF(B91="","",D91+E91+F91+G91)</f>
        <v/>
      </c>
      <c r="I91" s="83">
        <f>IFERROR(IF(B91="","",H91/C91),"")</f>
        <v/>
      </c>
      <c r="J91" s="68">
        <f>IF(B91="","",IF(G91&gt;F91,"▲ "&amp;TEXT((G91-F91)/F91,"0.0%"),"▼ "&amp;TEXT((F91-G91)/F91,"0.0%")))</f>
        <v/>
      </c>
      <c r="K91" s="68">
        <f>IFERROR(IF(B91="","",RANK(H91,H$12:H$111,0)),"")</f>
        <v/>
      </c>
      <c r="L91" s="68">
        <f>IF(B91="","",IF(I91&gt;=1.2,"⭐ Star Performer",IF(I91&gt;=1,"✅ At Quota",IF(I91&gt;=0.8,"⚠️ Needs Improvement","🔴 At Risk"))))</f>
        <v/>
      </c>
    </row>
    <row r="92" ht="21.75" customHeight="1" s="46">
      <c r="A92" s="80">
        <f>IF(B92&lt;&gt;"",ROW()-11,"")</f>
        <v/>
      </c>
      <c r="B92" s="57" t="n"/>
      <c r="C92" s="58" t="n"/>
      <c r="D92" s="58" t="n"/>
      <c r="E92" s="58" t="n"/>
      <c r="F92" s="58" t="n"/>
      <c r="G92" s="58" t="n"/>
      <c r="H92" s="59">
        <f>IF(B92="","",D92+E92+F92+G92)</f>
        <v/>
      </c>
      <c r="I92" s="81">
        <f>IFERROR(IF(B92="","",H92/C92),"")</f>
        <v/>
      </c>
      <c r="J92" s="61">
        <f>IF(B92="","",IF(G92&gt;F92,"▲ "&amp;TEXT((G92-F92)/F92,"0.0%"),"▼ "&amp;TEXT((F92-G92)/F92,"0.0%")))</f>
        <v/>
      </c>
      <c r="K92" s="61">
        <f>IFERROR(IF(B92="","",RANK(H92,H$12:H$111,0)),"")</f>
        <v/>
      </c>
      <c r="L92" s="61">
        <f>IF(B92="","",IF(I92&gt;=1.2,"⭐ Star Performer",IF(I92&gt;=1,"✅ At Quota",IF(I92&gt;=0.8,"⚠️ Needs Improvement","🔴 At Risk"))))</f>
        <v/>
      </c>
    </row>
    <row r="93" ht="21.75" customHeight="1" s="46">
      <c r="A93" s="82">
        <f>IF(B93&lt;&gt;"",ROW()-11,"")</f>
        <v/>
      </c>
      <c r="B93" s="64" t="n"/>
      <c r="C93" s="65" t="n"/>
      <c r="D93" s="65" t="n"/>
      <c r="E93" s="65" t="n"/>
      <c r="F93" s="65" t="n"/>
      <c r="G93" s="65" t="n"/>
      <c r="H93" s="66">
        <f>IF(B93="","",D93+E93+F93+G93)</f>
        <v/>
      </c>
      <c r="I93" s="83">
        <f>IFERROR(IF(B93="","",H93/C93),"")</f>
        <v/>
      </c>
      <c r="J93" s="68">
        <f>IF(B93="","",IF(G93&gt;F93,"▲ "&amp;TEXT((G93-F93)/F93,"0.0%"),"▼ "&amp;TEXT((F93-G93)/F93,"0.0%")))</f>
        <v/>
      </c>
      <c r="K93" s="68">
        <f>IFERROR(IF(B93="","",RANK(H93,H$12:H$111,0)),"")</f>
        <v/>
      </c>
      <c r="L93" s="68">
        <f>IF(B93="","",IF(I93&gt;=1.2,"⭐ Star Performer",IF(I93&gt;=1,"✅ At Quota",IF(I93&gt;=0.8,"⚠️ Needs Improvement","🔴 At Risk"))))</f>
        <v/>
      </c>
    </row>
    <row r="94" ht="21.75" customHeight="1" s="46">
      <c r="A94" s="80">
        <f>IF(B94&lt;&gt;"",ROW()-11,"")</f>
        <v/>
      </c>
      <c r="B94" s="57" t="n"/>
      <c r="C94" s="58" t="n"/>
      <c r="D94" s="58" t="n"/>
      <c r="E94" s="58" t="n"/>
      <c r="F94" s="58" t="n"/>
      <c r="G94" s="58" t="n"/>
      <c r="H94" s="59">
        <f>IF(B94="","",D94+E94+F94+G94)</f>
        <v/>
      </c>
      <c r="I94" s="81">
        <f>IFERROR(IF(B94="","",H94/C94),"")</f>
        <v/>
      </c>
      <c r="J94" s="61">
        <f>IF(B94="","",IF(G94&gt;F94,"▲ "&amp;TEXT((G94-F94)/F94,"0.0%"),"▼ "&amp;TEXT((F94-G94)/F94,"0.0%")))</f>
        <v/>
      </c>
      <c r="K94" s="61">
        <f>IFERROR(IF(B94="","",RANK(H94,H$12:H$111,0)),"")</f>
        <v/>
      </c>
      <c r="L94" s="61">
        <f>IF(B94="","",IF(I94&gt;=1.2,"⭐ Star Performer",IF(I94&gt;=1,"✅ At Quota",IF(I94&gt;=0.8,"⚠️ Needs Improvement","🔴 At Risk"))))</f>
        <v/>
      </c>
    </row>
    <row r="95" ht="21.75" customHeight="1" s="46">
      <c r="A95" s="82">
        <f>IF(B95&lt;&gt;"",ROW()-11,"")</f>
        <v/>
      </c>
      <c r="B95" s="64" t="n"/>
      <c r="C95" s="65" t="n"/>
      <c r="D95" s="65" t="n"/>
      <c r="E95" s="65" t="n"/>
      <c r="F95" s="65" t="n"/>
      <c r="G95" s="65" t="n"/>
      <c r="H95" s="66">
        <f>IF(B95="","",D95+E95+F95+G95)</f>
        <v/>
      </c>
      <c r="I95" s="83">
        <f>IFERROR(IF(B95="","",H95/C95),"")</f>
        <v/>
      </c>
      <c r="J95" s="68">
        <f>IF(B95="","",IF(G95&gt;F95,"▲ "&amp;TEXT((G95-F95)/F95,"0.0%"),"▼ "&amp;TEXT((F95-G95)/F95,"0.0%")))</f>
        <v/>
      </c>
      <c r="K95" s="68">
        <f>IFERROR(IF(B95="","",RANK(H95,H$12:H$111,0)),"")</f>
        <v/>
      </c>
      <c r="L95" s="68">
        <f>IF(B95="","",IF(I95&gt;=1.2,"⭐ Star Performer",IF(I95&gt;=1,"✅ At Quota",IF(I95&gt;=0.8,"⚠️ Needs Improvement","🔴 At Risk"))))</f>
        <v/>
      </c>
    </row>
    <row r="96" ht="21.75" customHeight="1" s="46">
      <c r="A96" s="80">
        <f>IF(B96&lt;&gt;"",ROW()-11,"")</f>
        <v/>
      </c>
      <c r="B96" s="57" t="n"/>
      <c r="C96" s="58" t="n"/>
      <c r="D96" s="58" t="n"/>
      <c r="E96" s="58" t="n"/>
      <c r="F96" s="58" t="n"/>
      <c r="G96" s="58" t="n"/>
      <c r="H96" s="59">
        <f>IF(B96="","",D96+E96+F96+G96)</f>
        <v/>
      </c>
      <c r="I96" s="81">
        <f>IFERROR(IF(B96="","",H96/C96),"")</f>
        <v/>
      </c>
      <c r="J96" s="61">
        <f>IF(B96="","",IF(G96&gt;F96,"▲ "&amp;TEXT((G96-F96)/F96,"0.0%"),"▼ "&amp;TEXT((F96-G96)/F96,"0.0%")))</f>
        <v/>
      </c>
      <c r="K96" s="61">
        <f>IFERROR(IF(B96="","",RANK(H96,H$12:H$111,0)),"")</f>
        <v/>
      </c>
      <c r="L96" s="61">
        <f>IF(B96="","",IF(I96&gt;=1.2,"⭐ Star Performer",IF(I96&gt;=1,"✅ At Quota",IF(I96&gt;=0.8,"⚠️ Needs Improvement","🔴 At Risk"))))</f>
        <v/>
      </c>
    </row>
    <row r="97" ht="21.75" customHeight="1" s="46">
      <c r="A97" s="82">
        <f>IF(B97&lt;&gt;"",ROW()-11,"")</f>
        <v/>
      </c>
      <c r="B97" s="64" t="n"/>
      <c r="C97" s="65" t="n"/>
      <c r="D97" s="65" t="n"/>
      <c r="E97" s="65" t="n"/>
      <c r="F97" s="65" t="n"/>
      <c r="G97" s="65" t="n"/>
      <c r="H97" s="66">
        <f>IF(B97="","",D97+E97+F97+G97)</f>
        <v/>
      </c>
      <c r="I97" s="83">
        <f>IFERROR(IF(B97="","",H97/C97),"")</f>
        <v/>
      </c>
      <c r="J97" s="68">
        <f>IF(B97="","",IF(G97&gt;F97,"▲ "&amp;TEXT((G97-F97)/F97,"0.0%"),"▼ "&amp;TEXT((F97-G97)/F97,"0.0%")))</f>
        <v/>
      </c>
      <c r="K97" s="68">
        <f>IFERROR(IF(B97="","",RANK(H97,H$12:H$111,0)),"")</f>
        <v/>
      </c>
      <c r="L97" s="68">
        <f>IF(B97="","",IF(I97&gt;=1.2,"⭐ Star Performer",IF(I97&gt;=1,"✅ At Quota",IF(I97&gt;=0.8,"⚠️ Needs Improvement","🔴 At Risk"))))</f>
        <v/>
      </c>
    </row>
    <row r="98" ht="21.75" customHeight="1" s="46">
      <c r="A98" s="80">
        <f>IF(B98&lt;&gt;"",ROW()-11,"")</f>
        <v/>
      </c>
      <c r="B98" s="57" t="n"/>
      <c r="C98" s="58" t="n"/>
      <c r="D98" s="58" t="n"/>
      <c r="E98" s="58" t="n"/>
      <c r="F98" s="58" t="n"/>
      <c r="G98" s="58" t="n"/>
      <c r="H98" s="59">
        <f>IF(B98="","",D98+E98+F98+G98)</f>
        <v/>
      </c>
      <c r="I98" s="81">
        <f>IFERROR(IF(B98="","",H98/C98),"")</f>
        <v/>
      </c>
      <c r="J98" s="61">
        <f>IF(B98="","",IF(G98&gt;F98,"▲ "&amp;TEXT((G98-F98)/F98,"0.0%"),"▼ "&amp;TEXT((F98-G98)/F98,"0.0%")))</f>
        <v/>
      </c>
      <c r="K98" s="61">
        <f>IFERROR(IF(B98="","",RANK(H98,H$12:H$111,0)),"")</f>
        <v/>
      </c>
      <c r="L98" s="61">
        <f>IF(B98="","",IF(I98&gt;=1.2,"⭐ Star Performer",IF(I98&gt;=1,"✅ At Quota",IF(I98&gt;=0.8,"⚠️ Needs Improvement","🔴 At Risk"))))</f>
        <v/>
      </c>
    </row>
    <row r="99" ht="21.75" customHeight="1" s="46">
      <c r="A99" s="82">
        <f>IF(B99&lt;&gt;"",ROW()-11,"")</f>
        <v/>
      </c>
      <c r="B99" s="64" t="n"/>
      <c r="C99" s="65" t="n"/>
      <c r="D99" s="65" t="n"/>
      <c r="E99" s="65" t="n"/>
      <c r="F99" s="65" t="n"/>
      <c r="G99" s="65" t="n"/>
      <c r="H99" s="66">
        <f>IF(B99="","",D99+E99+F99+G99)</f>
        <v/>
      </c>
      <c r="I99" s="83">
        <f>IFERROR(IF(B99="","",H99/C99),"")</f>
        <v/>
      </c>
      <c r="J99" s="68">
        <f>IF(B99="","",IF(G99&gt;F99,"▲ "&amp;TEXT((G99-F99)/F99,"0.0%"),"▼ "&amp;TEXT((F99-G99)/F99,"0.0%")))</f>
        <v/>
      </c>
      <c r="K99" s="68">
        <f>IFERROR(IF(B99="","",RANK(H99,H$12:H$111,0)),"")</f>
        <v/>
      </c>
      <c r="L99" s="68">
        <f>IF(B99="","",IF(I99&gt;=1.2,"⭐ Star Performer",IF(I99&gt;=1,"✅ At Quota",IF(I99&gt;=0.8,"⚠️ Needs Improvement","🔴 At Risk"))))</f>
        <v/>
      </c>
    </row>
    <row r="100" ht="21.75" customHeight="1" s="46">
      <c r="A100" s="80">
        <f>IF(B100&lt;&gt;"",ROW()-11,"")</f>
        <v/>
      </c>
      <c r="B100" s="57" t="n"/>
      <c r="C100" s="58" t="n"/>
      <c r="D100" s="58" t="n"/>
      <c r="E100" s="58" t="n"/>
      <c r="F100" s="58" t="n"/>
      <c r="G100" s="58" t="n"/>
      <c r="H100" s="59">
        <f>IF(B100="","",D100+E100+F100+G100)</f>
        <v/>
      </c>
      <c r="I100" s="81">
        <f>IFERROR(IF(B100="","",H100/C100),"")</f>
        <v/>
      </c>
      <c r="J100" s="61">
        <f>IF(B100="","",IF(G100&gt;F100,"▲ "&amp;TEXT((G100-F100)/F100,"0.0%"),"▼ "&amp;TEXT((F100-G100)/F100,"0.0%")))</f>
        <v/>
      </c>
      <c r="K100" s="61">
        <f>IFERROR(IF(B100="","",RANK(H100,H$12:H$111,0)),"")</f>
        <v/>
      </c>
      <c r="L100" s="61">
        <f>IF(B100="","",IF(I100&gt;=1.2,"⭐ Star Performer",IF(I100&gt;=1,"✅ At Quota",IF(I100&gt;=0.8,"⚠️ Needs Improvement","🔴 At Risk"))))</f>
        <v/>
      </c>
    </row>
    <row r="101" ht="21.75" customHeight="1" s="46">
      <c r="A101" s="82">
        <f>IF(B101&lt;&gt;"",ROW()-11,"")</f>
        <v/>
      </c>
      <c r="B101" s="64" t="n"/>
      <c r="C101" s="65" t="n"/>
      <c r="D101" s="65" t="n"/>
      <c r="E101" s="65" t="n"/>
      <c r="F101" s="65" t="n"/>
      <c r="G101" s="65" t="n"/>
      <c r="H101" s="66">
        <f>IF(B101="","",D101+E101+F101+G101)</f>
        <v/>
      </c>
      <c r="I101" s="83">
        <f>IFERROR(IF(B101="","",H101/C101),"")</f>
        <v/>
      </c>
      <c r="J101" s="68">
        <f>IF(B101="","",IF(G101&gt;F101,"▲ "&amp;TEXT((G101-F101)/F101,"0.0%"),"▼ "&amp;TEXT((F101-G101)/F101,"0.0%")))</f>
        <v/>
      </c>
      <c r="K101" s="68">
        <f>IFERROR(IF(B101="","",RANK(H101,H$12:H$111,0)),"")</f>
        <v/>
      </c>
      <c r="L101" s="68">
        <f>IF(B101="","",IF(I101&gt;=1.2,"⭐ Star Performer",IF(I101&gt;=1,"✅ At Quota",IF(I101&gt;=0.8,"⚠️ Needs Improvement","🔴 At Risk"))))</f>
        <v/>
      </c>
    </row>
    <row r="102" ht="21.75" customHeight="1" s="46">
      <c r="A102" s="80">
        <f>IF(B102&lt;&gt;"",ROW()-11,"")</f>
        <v/>
      </c>
      <c r="B102" s="57" t="n"/>
      <c r="C102" s="58" t="n"/>
      <c r="D102" s="58" t="n"/>
      <c r="E102" s="58" t="n"/>
      <c r="F102" s="58" t="n"/>
      <c r="G102" s="58" t="n"/>
      <c r="H102" s="59">
        <f>IF(B102="","",D102+E102+F102+G102)</f>
        <v/>
      </c>
      <c r="I102" s="81">
        <f>IFERROR(IF(B102="","",H102/C102),"")</f>
        <v/>
      </c>
      <c r="J102" s="61">
        <f>IF(B102="","",IF(G102&gt;F102,"▲ "&amp;TEXT((G102-F102)/F102,"0.0%"),"▼ "&amp;TEXT((F102-G102)/F102,"0.0%")))</f>
        <v/>
      </c>
      <c r="K102" s="61">
        <f>IFERROR(IF(B102="","",RANK(H102,H$12:H$111,0)),"")</f>
        <v/>
      </c>
      <c r="L102" s="61">
        <f>IF(B102="","",IF(I102&gt;=1.2,"⭐ Star Performer",IF(I102&gt;=1,"✅ At Quota",IF(I102&gt;=0.8,"⚠️ Needs Improvement","🔴 At Risk"))))</f>
        <v/>
      </c>
    </row>
    <row r="103" ht="21.75" customHeight="1" s="46">
      <c r="A103" s="82">
        <f>IF(B103&lt;&gt;"",ROW()-11,"")</f>
        <v/>
      </c>
      <c r="B103" s="64" t="n"/>
      <c r="C103" s="65" t="n"/>
      <c r="D103" s="65" t="n"/>
      <c r="E103" s="65" t="n"/>
      <c r="F103" s="65" t="n"/>
      <c r="G103" s="65" t="n"/>
      <c r="H103" s="66">
        <f>IF(B103="","",D103+E103+F103+G103)</f>
        <v/>
      </c>
      <c r="I103" s="83">
        <f>IFERROR(IF(B103="","",H103/C103),"")</f>
        <v/>
      </c>
      <c r="J103" s="68">
        <f>IF(B103="","",IF(G103&gt;F103,"▲ "&amp;TEXT((G103-F103)/F103,"0.0%"),"▼ "&amp;TEXT((F103-G103)/F103,"0.0%")))</f>
        <v/>
      </c>
      <c r="K103" s="68">
        <f>IFERROR(IF(B103="","",RANK(H103,H$12:H$111,0)),"")</f>
        <v/>
      </c>
      <c r="L103" s="68">
        <f>IF(B103="","",IF(I103&gt;=1.2,"⭐ Star Performer",IF(I103&gt;=1,"✅ At Quota",IF(I103&gt;=0.8,"⚠️ Needs Improvement","🔴 At Risk"))))</f>
        <v/>
      </c>
    </row>
    <row r="104" ht="21.75" customHeight="1" s="46">
      <c r="A104" s="80">
        <f>IF(B104&lt;&gt;"",ROW()-11,"")</f>
        <v/>
      </c>
      <c r="B104" s="57" t="n"/>
      <c r="C104" s="58" t="n"/>
      <c r="D104" s="58" t="n"/>
      <c r="E104" s="58" t="n"/>
      <c r="F104" s="58" t="n"/>
      <c r="G104" s="58" t="n"/>
      <c r="H104" s="59">
        <f>IF(B104="","",D104+E104+F104+G104)</f>
        <v/>
      </c>
      <c r="I104" s="81">
        <f>IFERROR(IF(B104="","",H104/C104),"")</f>
        <v/>
      </c>
      <c r="J104" s="61">
        <f>IF(B104="","",IF(G104&gt;F104,"▲ "&amp;TEXT((G104-F104)/F104,"0.0%"),"▼ "&amp;TEXT((F104-G104)/F104,"0.0%")))</f>
        <v/>
      </c>
      <c r="K104" s="61">
        <f>IFERROR(IF(B104="","",RANK(H104,H$12:H$111,0)),"")</f>
        <v/>
      </c>
      <c r="L104" s="61">
        <f>IF(B104="","",IF(I104&gt;=1.2,"⭐ Star Performer",IF(I104&gt;=1,"✅ At Quota",IF(I104&gt;=0.8,"⚠️ Needs Improvement","🔴 At Risk"))))</f>
        <v/>
      </c>
    </row>
    <row r="105" ht="21.75" customHeight="1" s="46">
      <c r="A105" s="82">
        <f>IF(B105&lt;&gt;"",ROW()-11,"")</f>
        <v/>
      </c>
      <c r="B105" s="64" t="n"/>
      <c r="C105" s="65" t="n"/>
      <c r="D105" s="65" t="n"/>
      <c r="E105" s="65" t="n"/>
      <c r="F105" s="65" t="n"/>
      <c r="G105" s="65" t="n"/>
      <c r="H105" s="66">
        <f>IF(B105="","",D105+E105+F105+G105)</f>
        <v/>
      </c>
      <c r="I105" s="83">
        <f>IFERROR(IF(B105="","",H105/C105),"")</f>
        <v/>
      </c>
      <c r="J105" s="68">
        <f>IF(B105="","",IF(G105&gt;F105,"▲ "&amp;TEXT((G105-F105)/F105,"0.0%"),"▼ "&amp;TEXT((F105-G105)/F105,"0.0%")))</f>
        <v/>
      </c>
      <c r="K105" s="68">
        <f>IFERROR(IF(B105="","",RANK(H105,H$12:H$111,0)),"")</f>
        <v/>
      </c>
      <c r="L105" s="68">
        <f>IF(B105="","",IF(I105&gt;=1.2,"⭐ Star Performer",IF(I105&gt;=1,"✅ At Quota",IF(I105&gt;=0.8,"⚠️ Needs Improvement","🔴 At Risk"))))</f>
        <v/>
      </c>
    </row>
    <row r="106" ht="21.75" customHeight="1" s="46">
      <c r="A106" s="80">
        <f>IF(B106&lt;&gt;"",ROW()-11,"")</f>
        <v/>
      </c>
      <c r="B106" s="57" t="n"/>
      <c r="C106" s="58" t="n"/>
      <c r="D106" s="58" t="n"/>
      <c r="E106" s="58" t="n"/>
      <c r="F106" s="58" t="n"/>
      <c r="G106" s="58" t="n"/>
      <c r="H106" s="59">
        <f>IF(B106="","",D106+E106+F106+G106)</f>
        <v/>
      </c>
      <c r="I106" s="81">
        <f>IFERROR(IF(B106="","",H106/C106),"")</f>
        <v/>
      </c>
      <c r="J106" s="61">
        <f>IF(B106="","",IF(G106&gt;F106,"▲ "&amp;TEXT((G106-F106)/F106,"0.0%"),"▼ "&amp;TEXT((F106-G106)/F106,"0.0%")))</f>
        <v/>
      </c>
      <c r="K106" s="61">
        <f>IFERROR(IF(B106="","",RANK(H106,H$12:H$111,0)),"")</f>
        <v/>
      </c>
      <c r="L106" s="61">
        <f>IF(B106="","",IF(I106&gt;=1.2,"⭐ Star Performer",IF(I106&gt;=1,"✅ At Quota",IF(I106&gt;=0.8,"⚠️ Needs Improvement","🔴 At Risk"))))</f>
        <v/>
      </c>
    </row>
    <row r="107" ht="21.75" customHeight="1" s="46">
      <c r="A107" s="82">
        <f>IF(B107&lt;&gt;"",ROW()-11,"")</f>
        <v/>
      </c>
      <c r="B107" s="64" t="n"/>
      <c r="C107" s="65" t="n"/>
      <c r="D107" s="65" t="n"/>
      <c r="E107" s="65" t="n"/>
      <c r="F107" s="65" t="n"/>
      <c r="G107" s="65" t="n"/>
      <c r="H107" s="66">
        <f>IF(B107="","",D107+E107+F107+G107)</f>
        <v/>
      </c>
      <c r="I107" s="83">
        <f>IFERROR(IF(B107="","",H107/C107),"")</f>
        <v/>
      </c>
      <c r="J107" s="68">
        <f>IF(B107="","",IF(G107&gt;F107,"▲ "&amp;TEXT((G107-F107)/F107,"0.0%"),"▼ "&amp;TEXT((F107-G107)/F107,"0.0%")))</f>
        <v/>
      </c>
      <c r="K107" s="68">
        <f>IFERROR(IF(B107="","",RANK(H107,H$12:H$111,0)),"")</f>
        <v/>
      </c>
      <c r="L107" s="68">
        <f>IF(B107="","",IF(I107&gt;=1.2,"⭐ Star Performer",IF(I107&gt;=1,"✅ At Quota",IF(I107&gt;=0.8,"⚠️ Needs Improvement","🔴 At Risk"))))</f>
        <v/>
      </c>
    </row>
    <row r="108" ht="21.75" customHeight="1" s="46">
      <c r="A108" s="80">
        <f>IF(B108&lt;&gt;"",ROW()-11,"")</f>
        <v/>
      </c>
      <c r="B108" s="57" t="n"/>
      <c r="C108" s="58" t="n"/>
      <c r="D108" s="58" t="n"/>
      <c r="E108" s="58" t="n"/>
      <c r="F108" s="58" t="n"/>
      <c r="G108" s="58" t="n"/>
      <c r="H108" s="59">
        <f>IF(B108="","",D108+E108+F108+G108)</f>
        <v/>
      </c>
      <c r="I108" s="81">
        <f>IFERROR(IF(B108="","",H108/C108),"")</f>
        <v/>
      </c>
      <c r="J108" s="61">
        <f>IF(B108="","",IF(G108&gt;F108,"▲ "&amp;TEXT((G108-F108)/F108,"0.0%"),"▼ "&amp;TEXT((F108-G108)/F108,"0.0%")))</f>
        <v/>
      </c>
      <c r="K108" s="61">
        <f>IFERROR(IF(B108="","",RANK(H108,H$12:H$111,0)),"")</f>
        <v/>
      </c>
      <c r="L108" s="61">
        <f>IF(B108="","",IF(I108&gt;=1.2,"⭐ Star Performer",IF(I108&gt;=1,"✅ At Quota",IF(I108&gt;=0.8,"⚠️ Needs Improvement","🔴 At Risk"))))</f>
        <v/>
      </c>
    </row>
    <row r="109" ht="21.75" customHeight="1" s="46">
      <c r="A109" s="82">
        <f>IF(B109&lt;&gt;"",ROW()-11,"")</f>
        <v/>
      </c>
      <c r="B109" s="64" t="n"/>
      <c r="C109" s="65" t="n"/>
      <c r="D109" s="65" t="n"/>
      <c r="E109" s="65" t="n"/>
      <c r="F109" s="65" t="n"/>
      <c r="G109" s="65" t="n"/>
      <c r="H109" s="66">
        <f>IF(B109="","",D109+E109+F109+G109)</f>
        <v/>
      </c>
      <c r="I109" s="83">
        <f>IFERROR(IF(B109="","",H109/C109),"")</f>
        <v/>
      </c>
      <c r="J109" s="68">
        <f>IF(B109="","",IF(G109&gt;F109,"▲ "&amp;TEXT((G109-F109)/F109,"0.0%"),"▼ "&amp;TEXT((F109-G109)/F109,"0.0%")))</f>
        <v/>
      </c>
      <c r="K109" s="68">
        <f>IFERROR(IF(B109="","",RANK(H109,H$12:H$111,0)),"")</f>
        <v/>
      </c>
      <c r="L109" s="68">
        <f>IF(B109="","",IF(I109&gt;=1.2,"⭐ Star Performer",IF(I109&gt;=1,"✅ At Quota",IF(I109&gt;=0.8,"⚠️ Needs Improvement","🔴 At Risk"))))</f>
        <v/>
      </c>
    </row>
    <row r="110" ht="21.75" customHeight="1" s="46">
      <c r="A110" s="80">
        <f>IF(B110&lt;&gt;"",ROW()-11,"")</f>
        <v/>
      </c>
      <c r="B110" s="57" t="n"/>
      <c r="C110" s="58" t="n"/>
      <c r="D110" s="58" t="n"/>
      <c r="E110" s="58" t="n"/>
      <c r="F110" s="58" t="n"/>
      <c r="G110" s="58" t="n"/>
      <c r="H110" s="59">
        <f>IF(B110="","",D110+E110+F110+G110)</f>
        <v/>
      </c>
      <c r="I110" s="81">
        <f>IFERROR(IF(B110="","",H110/C110),"")</f>
        <v/>
      </c>
      <c r="J110" s="61">
        <f>IF(B110="","",IF(G110&gt;F110,"▲ "&amp;TEXT((G110-F110)/F110,"0.0%"),"▼ "&amp;TEXT((F110-G110)/F110,"0.0%")))</f>
        <v/>
      </c>
      <c r="K110" s="61">
        <f>IFERROR(IF(B110="","",RANK(H110,H$12:H$111,0)),"")</f>
        <v/>
      </c>
      <c r="L110" s="61">
        <f>IF(B110="","",IF(I110&gt;=1.2,"⭐ Star Performer",IF(I110&gt;=1,"✅ At Quota",IF(I110&gt;=0.8,"⚠️ Needs Improvement","🔴 At Risk"))))</f>
        <v/>
      </c>
    </row>
    <row r="111" ht="21.75" customHeight="1" s="46">
      <c r="A111" s="82">
        <f>IF(B111&lt;&gt;"",ROW()-11,"")</f>
        <v/>
      </c>
      <c r="B111" s="64" t="n"/>
      <c r="C111" s="65" t="n"/>
      <c r="D111" s="65" t="n"/>
      <c r="E111" s="65" t="n"/>
      <c r="F111" s="65" t="n"/>
      <c r="G111" s="65" t="n"/>
      <c r="H111" s="66">
        <f>IF(B111="","",D111+E111+F111+G111)</f>
        <v/>
      </c>
      <c r="I111" s="83">
        <f>IFERROR(IF(B111="","",H111/C111),"")</f>
        <v/>
      </c>
      <c r="J111" s="68">
        <f>IF(B111="","",IF(G111&gt;F111,"▲ "&amp;TEXT((G111-F111)/F111,"0.0%"),"▼ "&amp;TEXT((F111-G111)/F111,"0.0%")))</f>
        <v/>
      </c>
      <c r="K111" s="68">
        <f>IFERROR(IF(B111="","",RANK(H111,H$12:H$111,0)),"")</f>
        <v/>
      </c>
      <c r="L111" s="68">
        <f>IF(B111="","",IF(I111&gt;=1.2,"⭐ Star Performer",IF(I111&gt;=1,"✅ At Quota",IF(I111&gt;=0.8,"⚠️ Needs Improvement","🔴 At Risk"))))</f>
        <v/>
      </c>
    </row>
  </sheetData>
  <mergeCells count="11">
    <mergeCell ref="A2:L2"/>
    <mergeCell ref="D5:F6"/>
    <mergeCell ref="A5:C6"/>
    <mergeCell ref="G5:I6"/>
    <mergeCell ref="A1:L1"/>
    <mergeCell ref="D4:F4"/>
    <mergeCell ref="J5:L6"/>
    <mergeCell ref="G4:I4"/>
    <mergeCell ref="J4:L4"/>
    <mergeCell ref="A4:C4"/>
    <mergeCell ref="A9:E9"/>
  </mergeCells>
  <conditionalFormatting sqref="I12:I111">
    <cfRule type="colorScale" priority="2">
      <colorScale>
        <cfvo type="num" val="0.5"/>
        <cfvo type="num" val="1"/>
        <cfvo type="num" val="1.3"/>
        <color rgb="FFF43F5E"/>
        <color rgb="FFFFD700"/>
        <color rgb="FF10B981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45" min="1" max="1"/>
    <col width="13" customWidth="1" style="45" min="2" max="5"/>
    <col width="16" customWidth="1" style="45" min="6" max="6"/>
    <col width="14" customWidth="1" style="45" min="7" max="7"/>
  </cols>
  <sheetData>
    <row r="1" ht="33.75" customHeight="1" s="46">
      <c r="A1" s="47" t="inlineStr">
        <is>
          <t>QUARTERLY REVENUE TREND</t>
        </is>
      </c>
    </row>
    <row r="2" ht="18" customHeight="1" s="46">
      <c r="A2" s="48" t="inlineStr">
        <is>
          <t>Auto-calculates from Scorecard tab — add reps there first</t>
        </is>
      </c>
    </row>
    <row r="3" ht="7.5" customHeight="1" s="46"/>
    <row r="4" ht="24" customHeight="1" s="46">
      <c r="A4" s="84" t="inlineStr">
        <is>
          <t>Rep Name</t>
        </is>
      </c>
      <c r="B4" s="84" t="inlineStr">
        <is>
          <t>Q1 ($)</t>
        </is>
      </c>
      <c r="C4" s="84" t="inlineStr">
        <is>
          <t>Q2 ($)</t>
        </is>
      </c>
      <c r="D4" s="84" t="inlineStr">
        <is>
          <t>Q3 ($)</t>
        </is>
      </c>
      <c r="E4" s="84" t="inlineStr">
        <is>
          <t>Q4 ($)</t>
        </is>
      </c>
      <c r="F4" s="84" t="inlineStr">
        <is>
          <t>Annual Total</t>
        </is>
      </c>
      <c r="G4" s="84" t="inlineStr">
        <is>
          <t>Best Quarter</t>
        </is>
      </c>
    </row>
    <row r="5" ht="19.5" customHeight="1" s="46">
      <c r="A5" s="85">
        <f>Scorecard!B12</f>
        <v/>
      </c>
      <c r="B5" s="59">
        <f>Scorecard!D12</f>
        <v/>
      </c>
      <c r="C5" s="59">
        <f>Scorecard!E12</f>
        <v/>
      </c>
      <c r="D5" s="59">
        <f>Scorecard!F12</f>
        <v/>
      </c>
      <c r="E5" s="59">
        <f>Scorecard!G12</f>
        <v/>
      </c>
      <c r="F5" s="59">
        <f>Scorecard!H12</f>
        <v/>
      </c>
      <c r="G5" s="86">
        <f>IF(AND(Scorecard!D12="",Scorecard!E12=""),"",IF(MAX(Scorecard!D12,Scorecard!E12,Scorecard!F12,Scorecard!G12)=Scorecard!D12,"Q1",IF(MAX(Scorecard!D12,Scorecard!E12,Scorecard!F12,Scorecard!G12)=Scorecard!E12,"Q2",IF(MAX(Scorecard!D12,Scorecard!E12,Scorecard!F12,Scorecard!G12)=Scorecard!F12,"Q3","Q4"))))</f>
        <v/>
      </c>
    </row>
    <row r="6" ht="19.5" customHeight="1" s="46">
      <c r="A6" s="87">
        <f>Scorecard!B13</f>
        <v/>
      </c>
      <c r="B6" s="66">
        <f>Scorecard!D13</f>
        <v/>
      </c>
      <c r="C6" s="66">
        <f>Scorecard!E13</f>
        <v/>
      </c>
      <c r="D6" s="66">
        <f>Scorecard!F13</f>
        <v/>
      </c>
      <c r="E6" s="66">
        <f>Scorecard!G13</f>
        <v/>
      </c>
      <c r="F6" s="66">
        <f>Scorecard!H13</f>
        <v/>
      </c>
      <c r="G6" s="88">
        <f>IF(AND(Scorecard!D13="",Scorecard!E13=""),"",IF(MAX(Scorecard!D13,Scorecard!E13,Scorecard!F13,Scorecard!G13)=Scorecard!D13,"Q1",IF(MAX(Scorecard!D13,Scorecard!E13,Scorecard!F13,Scorecard!G13)=Scorecard!E13,"Q2",IF(MAX(Scorecard!D13,Scorecard!E13,Scorecard!F13,Scorecard!G13)=Scorecard!F13,"Q3","Q4"))))</f>
        <v/>
      </c>
    </row>
    <row r="7" ht="19.5" customHeight="1" s="46">
      <c r="A7" s="85">
        <f>Scorecard!B14</f>
        <v/>
      </c>
      <c r="B7" s="59">
        <f>Scorecard!D14</f>
        <v/>
      </c>
      <c r="C7" s="59">
        <f>Scorecard!E14</f>
        <v/>
      </c>
      <c r="D7" s="59">
        <f>Scorecard!F14</f>
        <v/>
      </c>
      <c r="E7" s="59">
        <f>Scorecard!G14</f>
        <v/>
      </c>
      <c r="F7" s="59">
        <f>Scorecard!H14</f>
        <v/>
      </c>
      <c r="G7" s="86">
        <f>IF(AND(Scorecard!D14="",Scorecard!E14=""),"",IF(MAX(Scorecard!D14,Scorecard!E14,Scorecard!F14,Scorecard!G14)=Scorecard!D14,"Q1",IF(MAX(Scorecard!D14,Scorecard!E14,Scorecard!F14,Scorecard!G14)=Scorecard!E14,"Q2",IF(MAX(Scorecard!D14,Scorecard!E14,Scorecard!F14,Scorecard!G14)=Scorecard!F14,"Q3","Q4"))))</f>
        <v/>
      </c>
    </row>
    <row r="8" ht="19.5" customHeight="1" s="46">
      <c r="A8" s="87">
        <f>Scorecard!B15</f>
        <v/>
      </c>
      <c r="B8" s="66">
        <f>Scorecard!D15</f>
        <v/>
      </c>
      <c r="C8" s="66">
        <f>Scorecard!E15</f>
        <v/>
      </c>
      <c r="D8" s="66">
        <f>Scorecard!F15</f>
        <v/>
      </c>
      <c r="E8" s="66">
        <f>Scorecard!G15</f>
        <v/>
      </c>
      <c r="F8" s="66">
        <f>Scorecard!H15</f>
        <v/>
      </c>
      <c r="G8" s="88">
        <f>IF(AND(Scorecard!D15="",Scorecard!E15=""),"",IF(MAX(Scorecard!D15,Scorecard!E15,Scorecard!F15,Scorecard!G15)=Scorecard!D15,"Q1",IF(MAX(Scorecard!D15,Scorecard!E15,Scorecard!F15,Scorecard!G15)=Scorecard!E15,"Q2",IF(MAX(Scorecard!D15,Scorecard!E15,Scorecard!F15,Scorecard!G15)=Scorecard!F15,"Q3","Q4"))))</f>
        <v/>
      </c>
    </row>
    <row r="9" ht="19.5" customHeight="1" s="46">
      <c r="A9" s="85">
        <f>Scorecard!B16</f>
        <v/>
      </c>
      <c r="B9" s="59">
        <f>Scorecard!D16</f>
        <v/>
      </c>
      <c r="C9" s="59">
        <f>Scorecard!E16</f>
        <v/>
      </c>
      <c r="D9" s="59">
        <f>Scorecard!F16</f>
        <v/>
      </c>
      <c r="E9" s="59">
        <f>Scorecard!G16</f>
        <v/>
      </c>
      <c r="F9" s="59">
        <f>Scorecard!H16</f>
        <v/>
      </c>
      <c r="G9" s="86">
        <f>IF(AND(Scorecard!D16="",Scorecard!E16=""),"",IF(MAX(Scorecard!D16,Scorecard!E16,Scorecard!F16,Scorecard!G16)=Scorecard!D16,"Q1",IF(MAX(Scorecard!D16,Scorecard!E16,Scorecard!F16,Scorecard!G16)=Scorecard!E16,"Q2",IF(MAX(Scorecard!D16,Scorecard!E16,Scorecard!F16,Scorecard!G16)=Scorecard!F16,"Q3","Q4"))))</f>
        <v/>
      </c>
    </row>
    <row r="10" ht="19.5" customHeight="1" s="46">
      <c r="A10" s="87">
        <f>Scorecard!B17</f>
        <v/>
      </c>
      <c r="B10" s="66">
        <f>Scorecard!D17</f>
        <v/>
      </c>
      <c r="C10" s="66">
        <f>Scorecard!E17</f>
        <v/>
      </c>
      <c r="D10" s="66">
        <f>Scorecard!F17</f>
        <v/>
      </c>
      <c r="E10" s="66">
        <f>Scorecard!G17</f>
        <v/>
      </c>
      <c r="F10" s="66">
        <f>Scorecard!H17</f>
        <v/>
      </c>
      <c r="G10" s="88">
        <f>IF(AND(Scorecard!D17="",Scorecard!E17=""),"",IF(MAX(Scorecard!D17,Scorecard!E17,Scorecard!F17,Scorecard!G17)=Scorecard!D17,"Q1",IF(MAX(Scorecard!D17,Scorecard!E17,Scorecard!F17,Scorecard!G17)=Scorecard!E17,"Q2",IF(MAX(Scorecard!D17,Scorecard!E17,Scorecard!F17,Scorecard!G17)=Scorecard!F17,"Q3","Q4"))))</f>
        <v/>
      </c>
    </row>
    <row r="11" ht="19.5" customHeight="1" s="46">
      <c r="A11" s="85">
        <f>Scorecard!B18</f>
        <v/>
      </c>
      <c r="B11" s="59">
        <f>Scorecard!D18</f>
        <v/>
      </c>
      <c r="C11" s="59">
        <f>Scorecard!E18</f>
        <v/>
      </c>
      <c r="D11" s="59">
        <f>Scorecard!F18</f>
        <v/>
      </c>
      <c r="E11" s="59">
        <f>Scorecard!G18</f>
        <v/>
      </c>
      <c r="F11" s="59">
        <f>Scorecard!H18</f>
        <v/>
      </c>
      <c r="G11" s="86">
        <f>IF(AND(Scorecard!D18="",Scorecard!E18=""),"",IF(MAX(Scorecard!D18,Scorecard!E18,Scorecard!F18,Scorecard!G18)=Scorecard!D18,"Q1",IF(MAX(Scorecard!D18,Scorecard!E18,Scorecard!F18,Scorecard!G18)=Scorecard!E18,"Q2",IF(MAX(Scorecard!D18,Scorecard!E18,Scorecard!F18,Scorecard!G18)=Scorecard!F18,"Q3","Q4"))))</f>
        <v/>
      </c>
    </row>
    <row r="12" ht="19.5" customHeight="1" s="46">
      <c r="A12" s="87">
        <f>Scorecard!B19</f>
        <v/>
      </c>
      <c r="B12" s="66">
        <f>Scorecard!D19</f>
        <v/>
      </c>
      <c r="C12" s="66">
        <f>Scorecard!E19</f>
        <v/>
      </c>
      <c r="D12" s="66">
        <f>Scorecard!F19</f>
        <v/>
      </c>
      <c r="E12" s="66">
        <f>Scorecard!G19</f>
        <v/>
      </c>
      <c r="F12" s="66">
        <f>Scorecard!H19</f>
        <v/>
      </c>
      <c r="G12" s="88">
        <f>IF(AND(Scorecard!D19="",Scorecard!E19=""),"",IF(MAX(Scorecard!D19,Scorecard!E19,Scorecard!F19,Scorecard!G19)=Scorecard!D19,"Q1",IF(MAX(Scorecard!D19,Scorecard!E19,Scorecard!F19,Scorecard!G19)=Scorecard!E19,"Q2",IF(MAX(Scorecard!D19,Scorecard!E19,Scorecard!F19,Scorecard!G19)=Scorecard!F19,"Q3","Q4"))))</f>
        <v/>
      </c>
    </row>
    <row r="13" ht="21.75" customHeight="1" s="46">
      <c r="A13" s="89" t="inlineStr">
        <is>
          <t>TEAM TOTAL</t>
        </is>
      </c>
      <c r="B13" s="90">
        <f>SUM(B5:B12)</f>
        <v/>
      </c>
      <c r="C13" s="90">
        <f>SUM(C5:C12)</f>
        <v/>
      </c>
      <c r="D13" s="90">
        <f>SUM(D5:D12)</f>
        <v/>
      </c>
      <c r="E13" s="90">
        <f>SUM(E5:E12)</f>
        <v/>
      </c>
      <c r="F13" s="90">
        <f>SUM(F5:F12)</f>
        <v/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2026-04-02T13:37:48Z</dcterms:created>
  <dcterms:modified xmlns:dcterms="http://purl.org/dc/terms/" xmlns:xsi="http://www.w3.org/2001/XMLSchema-instance" xsi:type="dcterms:W3CDTF">2026-04-02T13:44:40Z</dcterms:modified>
  <cp:revision>0</cp:revision>
</cp:coreProperties>
</file>
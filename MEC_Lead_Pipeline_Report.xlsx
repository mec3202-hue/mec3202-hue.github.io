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ipeline Tracker" sheetId="1" state="visible" r:id="rId1"/>
    <sheet xmlns:r="http://schemas.openxmlformats.org/officeDocument/2006/relationships" name="Stage Summary" sheetId="2" state="visible" r:id="rId2"/>
    <sheet xmlns:r="http://schemas.openxmlformats.org/officeDocument/2006/relationships" name="Rep Leaderboard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5"/>
    </font>
    <font>
      <name val="Arial"/>
      <charset val="1"/>
      <family val="0"/>
      <color rgb="FF888899"/>
      <sz val="9"/>
    </font>
    <font>
      <name val="Arial"/>
      <charset val="1"/>
      <family val="0"/>
      <color rgb="FF888899"/>
      <sz val="8"/>
    </font>
    <font>
      <name val="Arial"/>
      <charset val="1"/>
      <family val="0"/>
      <b val="1"/>
      <color rgb="FFB8964A"/>
      <sz val="20"/>
    </font>
    <font>
      <name val="Arial"/>
      <charset val="1"/>
      <family val="0"/>
      <b val="1"/>
      <color rgb="FF1E9F9F"/>
      <sz val="20"/>
    </font>
    <font>
      <name val="Arial"/>
      <charset val="1"/>
      <family val="0"/>
      <b val="1"/>
      <color rgb="FF00AA55"/>
      <sz val="20"/>
    </font>
    <font>
      <name val="Arial"/>
      <charset val="1"/>
      <family val="0"/>
      <b val="1"/>
      <color rgb="FFDC2626"/>
      <sz val="20"/>
    </font>
    <font>
      <name val="Arial"/>
      <charset val="1"/>
      <family val="0"/>
      <i val="1"/>
      <color rgb="FF2563EB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888888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111111"/>
      <sz val="10"/>
    </font>
    <font>
      <name val="Arial"/>
      <charset val="1"/>
      <family val="0"/>
      <b val="1"/>
      <color rgb="FF16A34A"/>
      <sz val="10"/>
    </font>
    <font>
      <name val="Arial"/>
      <charset val="1"/>
      <family val="0"/>
      <b val="1"/>
      <color rgb="FFD97706"/>
      <sz val="10"/>
    </font>
  </fonts>
  <fills count="10">
    <fill>
      <patternFill/>
    </fill>
    <fill>
      <patternFill patternType="gray125"/>
    </fill>
    <fill>
      <patternFill patternType="solid">
        <fgColor rgb="FF1A1208"/>
        <bgColor rgb="FF111111"/>
      </patternFill>
    </fill>
    <fill>
      <patternFill patternType="solid">
        <fgColor rgb="FF2A2010"/>
        <bgColor rgb="FF1A1208"/>
      </patternFill>
    </fill>
    <fill>
      <patternFill patternType="solid">
        <fgColor rgb="FF1E5F5F"/>
        <bgColor rgb="FF333333"/>
      </patternFill>
    </fill>
    <fill>
      <patternFill patternType="solid">
        <fgColor rgb="FFFDFAF4"/>
        <bgColor rgb="FFFFFFFF"/>
      </patternFill>
    </fill>
    <fill>
      <patternFill patternType="solid">
        <fgColor rgb="FFFDECEA"/>
        <bgColor rgb="FFFFF8E1"/>
      </patternFill>
    </fill>
    <fill>
      <patternFill patternType="solid">
        <fgColor rgb="FFFFFFFF"/>
        <bgColor rgb="FFFDFAF4"/>
      </patternFill>
    </fill>
    <fill>
      <patternFill patternType="solid">
        <fgColor rgb="FFDDFFE8"/>
        <bgColor rgb="FFCCFFCC"/>
      </patternFill>
    </fill>
    <fill>
      <patternFill patternType="solid">
        <fgColor rgb="FFFFF8E1"/>
        <bgColor rgb="FFFDFAF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/>
      <bottom style="thin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164" fontId="14" fillId="7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164" fontId="16" fillId="5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left" vertical="center"/>
    </xf>
    <xf numFmtId="164" fontId="16" fillId="7" borderId="2" applyAlignment="1" pivotButton="0" quotePrefix="0" xfId="0">
      <alignment horizontal="center" vertical="center"/>
    </xf>
    <xf numFmtId="165" fontId="16" fillId="7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9" fontId="16" fillId="5" borderId="2" applyAlignment="1" pivotButton="0" quotePrefix="0" xfId="0">
      <alignment horizontal="center" vertical="center"/>
    </xf>
    <xf numFmtId="9" fontId="16" fillId="7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164" fontId="7" fillId="3" borderId="0" applyAlignment="1" pivotButton="0" quotePrefix="0" xfId="0">
      <alignment horizontal="center" vertical="center"/>
    </xf>
    <xf numFmtId="1" fontId="8" fillId="3" borderId="0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" fontId="10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0" fontId="15" fillId="6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0" fontId="14" fillId="7" borderId="2" applyAlignment="1" pivotButton="0" quotePrefix="0" xfId="0">
      <alignment horizontal="center" vertical="center"/>
    </xf>
    <xf numFmtId="164" fontId="14" fillId="7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6" fillId="5" borderId="2" applyAlignment="1" pivotButton="0" quotePrefix="0" xfId="0">
      <alignment horizontal="left" vertical="center"/>
    </xf>
    <xf numFmtId="164" fontId="16" fillId="5" borderId="2" applyAlignment="1" pivotButton="0" quotePrefix="0" xfId="0">
      <alignment horizontal="center" vertical="center"/>
    </xf>
    <xf numFmtId="165" fontId="16" fillId="5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left" vertical="center"/>
    </xf>
    <xf numFmtId="164" fontId="16" fillId="7" borderId="2" applyAlignment="1" pivotButton="0" quotePrefix="0" xfId="0">
      <alignment horizontal="center" vertical="center"/>
    </xf>
    <xf numFmtId="165" fontId="16" fillId="7" borderId="2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9" fontId="16" fillId="5" borderId="2" applyAlignment="1" pivotButton="0" quotePrefix="0" xfId="0">
      <alignment horizontal="center" vertical="center"/>
    </xf>
    <xf numFmtId="9" fontId="16" fillId="7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ont>
        <name val="Arial"/>
        <charset val="1"/>
        <family val="0"/>
        <b val="1"/>
        <color rgb="FFDC2626"/>
      </font>
      <fill>
        <patternFill>
          <bgColor rgb="FFFDECEA"/>
        </patternFill>
      </fill>
    </dxf>
    <dxf>
      <font>
        <name val="Arial"/>
        <charset val="1"/>
        <family val="0"/>
        <b val="1"/>
        <color rgb="FFD97706"/>
      </font>
      <fill>
        <patternFill>
          <bgColor rgb="FFFFF8E1"/>
        </patternFill>
      </fill>
    </dxf>
    <dxf>
      <font>
        <name val="Arial"/>
        <charset val="1"/>
        <family val="0"/>
        <b val="1"/>
        <color rgb="FF16A34A"/>
      </font>
      <fill>
        <patternFill>
          <bgColor rgb="FFDDFFE8"/>
        </patternFill>
      </fill>
    </dxf>
  </dxf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AA55"/>
      <rgbColor rgb="FF000080"/>
      <rgbColor rgb="FFB8964A"/>
      <rgbColor rgb="FF800080"/>
      <rgbColor rgb="FF1E9F9F"/>
      <rgbColor rgb="FFC0C0C0"/>
      <rgbColor rgb="FF888888"/>
      <rgbColor rgb="FF9999FF"/>
      <rgbColor rgb="FF993366"/>
      <rgbColor rgb="FFFFF8E1"/>
      <rgbColor rgb="FFDDFFE8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1E5F5F"/>
      <rgbColor rgb="FF0000FF"/>
      <rgbColor rgb="FF00CCFF"/>
      <rgbColor rgb="FFFDFAF4"/>
      <rgbColor rgb="FFCCFFCC"/>
      <rgbColor rgb="FFFDECEA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D97706"/>
      <rgbColor rgb="FF666699"/>
      <rgbColor rgb="FF888899"/>
      <rgbColor rgb="FF1A1208"/>
      <rgbColor rgb="FF16A34A"/>
      <rgbColor rgb="FF111111"/>
      <rgbColor rgb="FF2A201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3" min="1" max="1"/>
    <col width="22" customWidth="1" style="33" min="2" max="2"/>
    <col width="16" customWidth="1" style="33" min="3" max="3"/>
    <col width="18" customWidth="1" style="33" min="4" max="4"/>
    <col width="13" customWidth="1" style="33" min="5" max="5"/>
    <col width="14" customWidth="1" style="33" min="6" max="6"/>
    <col width="15" customWidth="1" style="33" min="7" max="7"/>
    <col width="10" customWidth="1" style="33" min="8" max="8"/>
    <col width="12" customWidth="1" style="33" min="9" max="9"/>
    <col width="24" customWidth="1" style="33" min="10" max="10"/>
  </cols>
  <sheetData>
    <row r="1" ht="33.75" customHeight="1" s="34">
      <c r="A1" s="35" t="inlineStr">
        <is>
          <t>LEAD &amp; PIPELINE REPORT — MEC · TEMPLATE</t>
        </is>
      </c>
    </row>
    <row r="2" ht="18" customHeight="1" s="34">
      <c r="A2" s="36" t="inlineStr">
        <is>
          <t>Mason E. Cunningham (MEC)  ·  Portfolio Project  ·  Enter data in BLUE cells — formulas update automatically</t>
        </is>
      </c>
    </row>
    <row r="3" ht="7.5" customHeight="1" s="34"/>
    <row r="4" ht="18" customHeight="1" s="34">
      <c r="A4" s="37" t="inlineStr">
        <is>
          <t>Total Pipeline Value</t>
        </is>
      </c>
      <c r="C4" s="37" t="inlineStr">
        <is>
          <t>Total Active Leads</t>
        </is>
      </c>
      <c r="E4" s="37" t="inlineStr">
        <is>
          <t>Avg Deal Size</t>
        </is>
      </c>
      <c r="G4" s="37" t="inlineStr">
        <is>
          <t>Closed-Won Value</t>
        </is>
      </c>
      <c r="I4" s="37" t="inlineStr">
        <is>
          <t>High Priority Leads</t>
        </is>
      </c>
    </row>
    <row r="5" ht="27.75" customHeight="1" s="34">
      <c r="A5" s="38">
        <f>SUMIF(D11:D110,"&lt;&gt;Closed-Lost",F11:F110)</f>
        <v/>
      </c>
      <c r="C5" s="39">
        <f>COUNTIF(B11:B110,"&lt;&gt;")</f>
        <v/>
      </c>
      <c r="E5" s="38">
        <f>IFERROR(AVERAGE(F11:F110),0)</f>
        <v/>
      </c>
      <c r="G5" s="40">
        <f>SUMIF(D11:D110,"Closed-Won",F11:F110)</f>
        <v/>
      </c>
      <c r="I5" s="41">
        <f>COUNTIF(H11:H110,"High")</f>
        <v/>
      </c>
    </row>
    <row r="6" ht="7.5" customHeight="1" s="34"/>
    <row r="7" ht="7.5" customHeight="1" s="34"/>
    <row r="8" ht="6" customHeight="1" s="34"/>
    <row r="9" ht="13.5" customHeight="1" s="34">
      <c r="A9" s="42" t="inlineStr">
        <is>
          <t>← Enter data in columns A–H  |  Columns I–J calculate automatically</t>
        </is>
      </c>
    </row>
    <row r="10" ht="7.5" customHeight="1" s="34"/>
    <row r="11" ht="27.75" customHeight="1" s="34">
      <c r="A11" s="43" t="inlineStr">
        <is>
          <t>#</t>
        </is>
      </c>
      <c r="B11" s="43" t="inlineStr">
        <is>
          <t>Company</t>
        </is>
      </c>
      <c r="C11" s="43" t="inlineStr">
        <is>
          <t>Sales Rep</t>
        </is>
      </c>
      <c r="D11" s="43" t="inlineStr">
        <is>
          <t>Stage</t>
        </is>
      </c>
      <c r="E11" s="43" t="inlineStr">
        <is>
          <t>Close Date</t>
        </is>
      </c>
      <c r="F11" s="43" t="inlineStr">
        <is>
          <t>Deal Value ($)</t>
        </is>
      </c>
      <c r="G11" s="43" t="inlineStr">
        <is>
          <t>Days in Stage</t>
        </is>
      </c>
      <c r="H11" s="43" t="inlineStr">
        <is>
          <t>Priority</t>
        </is>
      </c>
      <c r="I11" s="43" t="inlineStr">
        <is>
          <t>Source</t>
        </is>
      </c>
      <c r="J11" s="43" t="inlineStr">
        <is>
          <t>Rep Deal Count (COUNTIF)</t>
        </is>
      </c>
    </row>
    <row r="12" ht="18" customHeight="1" s="34">
      <c r="A12" s="44">
        <f>IF(B12&lt;&gt;"",ROW()-11,"")</f>
        <v/>
      </c>
      <c r="B12" s="45" t="inlineStr">
        <is>
          <t>Acme Corp</t>
        </is>
      </c>
      <c r="C12" s="45" t="inlineStr">
        <is>
          <t>Jordan Kim</t>
        </is>
      </c>
      <c r="D12" s="45" t="inlineStr">
        <is>
          <t>Prospecting</t>
        </is>
      </c>
      <c r="E12" s="46" t="inlineStr">
        <is>
          <t>2026-05-15</t>
        </is>
      </c>
      <c r="F12" s="47" t="n">
        <v>18000</v>
      </c>
      <c r="G12" s="46" t="n">
        <v>5</v>
      </c>
      <c r="H12" s="48" t="inlineStr">
        <is>
          <t>High</t>
        </is>
      </c>
      <c r="I12" s="46" t="inlineStr">
        <is>
          <t>Inbound</t>
        </is>
      </c>
      <c r="J12" s="49">
        <f>IF(B12="","",COUNTIF(C$12:C$111,C12))</f>
        <v/>
      </c>
    </row>
    <row r="13" ht="18" customHeight="1" s="34">
      <c r="A13" s="50">
        <f>IF(B13&lt;&gt;"",ROW()-11,"")</f>
        <v/>
      </c>
      <c r="B13" s="51" t="inlineStr">
        <is>
          <t>Bluestone Inc</t>
        </is>
      </c>
      <c r="C13" s="51" t="inlineStr">
        <is>
          <t>Priya Patel</t>
        </is>
      </c>
      <c r="D13" s="51" t="inlineStr">
        <is>
          <t>Closed-Won</t>
        </is>
      </c>
      <c r="E13" s="52" t="inlineStr">
        <is>
          <t>2026-04-10</t>
        </is>
      </c>
      <c r="F13" s="53" t="n">
        <v>45000</v>
      </c>
      <c r="G13" s="52" t="n">
        <v>22</v>
      </c>
      <c r="H13" s="54" t="inlineStr">
        <is>
          <t>Low</t>
        </is>
      </c>
      <c r="I13" s="52" t="inlineStr">
        <is>
          <t>Referral</t>
        </is>
      </c>
      <c r="J13" s="55">
        <f>IF(B13="","",COUNTIF(C$12:C$111,C13))</f>
        <v/>
      </c>
    </row>
    <row r="14" ht="18" customHeight="1" s="34">
      <c r="A14" s="44">
        <f>IF(B14&lt;&gt;"",ROW()-11,"")</f>
        <v/>
      </c>
      <c r="B14" s="45" t="inlineStr">
        <is>
          <t>Crestview LLC</t>
        </is>
      </c>
      <c r="C14" s="45" t="inlineStr">
        <is>
          <t>Alexis Chen</t>
        </is>
      </c>
      <c r="D14" s="45" t="inlineStr">
        <is>
          <t>Demo Scheduled</t>
        </is>
      </c>
      <c r="E14" s="46" t="inlineStr">
        <is>
          <t>2026-05-20</t>
        </is>
      </c>
      <c r="F14" s="47" t="n">
        <v>29000</v>
      </c>
      <c r="G14" s="46" t="n">
        <v>12</v>
      </c>
      <c r="H14" s="56" t="inlineStr">
        <is>
          <t>Medium</t>
        </is>
      </c>
      <c r="I14" s="46" t="inlineStr">
        <is>
          <t>Outbound</t>
        </is>
      </c>
      <c r="J14" s="49">
        <f>IF(B14="","",COUNTIF(C$12:C$111,C14))</f>
        <v/>
      </c>
    </row>
    <row r="15" ht="18" customHeight="1" s="34">
      <c r="A15" s="50">
        <f>IF(B15&lt;&gt;"",ROW()-11,"")</f>
        <v/>
      </c>
      <c r="B15" s="51" t="inlineStr">
        <is>
          <t>Delta Systems</t>
        </is>
      </c>
      <c r="C15" s="51" t="inlineStr">
        <is>
          <t>Marcus Webb</t>
        </is>
      </c>
      <c r="D15" s="51" t="inlineStr">
        <is>
          <t>Proposal Sent</t>
        </is>
      </c>
      <c r="E15" s="52" t="inlineStr">
        <is>
          <t>2026-04-28</t>
        </is>
      </c>
      <c r="F15" s="53" t="n">
        <v>62000</v>
      </c>
      <c r="G15" s="52" t="n">
        <v>31</v>
      </c>
      <c r="H15" s="48" t="inlineStr">
        <is>
          <t>High</t>
        </is>
      </c>
      <c r="I15" s="52" t="inlineStr">
        <is>
          <t>Event</t>
        </is>
      </c>
      <c r="J15" s="55">
        <f>IF(B15="","",COUNTIF(C$12:C$111,C15))</f>
        <v/>
      </c>
    </row>
    <row r="16" ht="18" customHeight="1" s="34">
      <c r="A16" s="44">
        <f>IF(B16&lt;&gt;"",ROW()-11,"")</f>
        <v/>
      </c>
      <c r="B16" s="45" t="inlineStr">
        <is>
          <t>Evergreen Co</t>
        </is>
      </c>
      <c r="C16" s="45" t="inlineStr">
        <is>
          <t>Nadia Okonkwo</t>
        </is>
      </c>
      <c r="D16" s="45" t="inlineStr">
        <is>
          <t>Negotiation</t>
        </is>
      </c>
      <c r="E16" s="46" t="inlineStr">
        <is>
          <t>2026-05-05</t>
        </is>
      </c>
      <c r="F16" s="47" t="n">
        <v>78000</v>
      </c>
      <c r="G16" s="46" t="n">
        <v>8</v>
      </c>
      <c r="H16" s="48" t="inlineStr">
        <is>
          <t>High</t>
        </is>
      </c>
      <c r="I16" s="46" t="inlineStr">
        <is>
          <t>Referral</t>
        </is>
      </c>
      <c r="J16" s="49">
        <f>IF(B16="","",COUNTIF(C$12:C$111,C16))</f>
        <v/>
      </c>
    </row>
    <row r="17" ht="18" customHeight="1" s="34">
      <c r="A17" s="50">
        <f>IF(B17&lt;&gt;"",ROW()-11,"")</f>
        <v/>
      </c>
      <c r="B17" s="51" t="inlineStr">
        <is>
          <t>Frontier Tech</t>
        </is>
      </c>
      <c r="C17" s="51" t="inlineStr">
        <is>
          <t>Jordan Kim</t>
        </is>
      </c>
      <c r="D17" s="51" t="inlineStr">
        <is>
          <t>Qualification</t>
        </is>
      </c>
      <c r="E17" s="52" t="inlineStr">
        <is>
          <t>2026-05-22</t>
        </is>
      </c>
      <c r="F17" s="53" t="n">
        <v>22000</v>
      </c>
      <c r="G17" s="52" t="n">
        <v>14</v>
      </c>
      <c r="H17" s="56" t="inlineStr">
        <is>
          <t>Medium</t>
        </is>
      </c>
      <c r="I17" s="52" t="inlineStr">
        <is>
          <t>Inbound</t>
        </is>
      </c>
      <c r="J17" s="55">
        <f>IF(B17="","",COUNTIF(C$12:C$111,C17))</f>
        <v/>
      </c>
    </row>
    <row r="18" ht="18" customHeight="1" s="34">
      <c r="A18" s="44">
        <f>IF(B18&lt;&gt;"",ROW()-11,"")</f>
        <v/>
      </c>
      <c r="B18" s="45" t="inlineStr">
        <is>
          <t>Granite Solutions</t>
        </is>
      </c>
      <c r="C18" s="45" t="inlineStr">
        <is>
          <t>Samantha Lee</t>
        </is>
      </c>
      <c r="D18" s="45" t="inlineStr">
        <is>
          <t>Closed-Won</t>
        </is>
      </c>
      <c r="E18" s="46" t="inlineStr">
        <is>
          <t>2026-04-02</t>
        </is>
      </c>
      <c r="F18" s="47" t="n">
        <v>33000</v>
      </c>
      <c r="G18" s="46" t="n">
        <v>28</v>
      </c>
      <c r="H18" s="54" t="inlineStr">
        <is>
          <t>Low</t>
        </is>
      </c>
      <c r="I18" s="46" t="inlineStr">
        <is>
          <t>Partner</t>
        </is>
      </c>
      <c r="J18" s="49">
        <f>IF(B18="","",COUNTIF(C$12:C$111,C18))</f>
        <v/>
      </c>
    </row>
    <row r="19" ht="18" customHeight="1" s="34">
      <c r="A19" s="50">
        <f>IF(B19&lt;&gt;"",ROW()-11,"")</f>
        <v/>
      </c>
      <c r="B19" s="51" t="inlineStr">
        <is>
          <t>Horizon Group</t>
        </is>
      </c>
      <c r="C19" s="51" t="inlineStr">
        <is>
          <t>Devon Ross</t>
        </is>
      </c>
      <c r="D19" s="51" t="inlineStr">
        <is>
          <t>Prospecting</t>
        </is>
      </c>
      <c r="E19" s="52" t="inlineStr">
        <is>
          <t>2026-05-30</t>
        </is>
      </c>
      <c r="F19" s="53" t="n">
        <v>15000</v>
      </c>
      <c r="G19" s="52" t="n">
        <v>3</v>
      </c>
      <c r="H19" s="54" t="inlineStr">
        <is>
          <t>Low</t>
        </is>
      </c>
      <c r="I19" s="52" t="inlineStr">
        <is>
          <t>Outbound</t>
        </is>
      </c>
      <c r="J19" s="55">
        <f>IF(B19="","",COUNTIF(C$12:C$111,C19))</f>
        <v/>
      </c>
    </row>
    <row r="20" ht="18" customHeight="1" s="34">
      <c r="A20" s="44">
        <f>IF(B20&lt;&gt;"",ROW()-11,"")</f>
        <v/>
      </c>
      <c r="B20" s="45" t="inlineStr">
        <is>
          <t>Ironclad Ltd</t>
        </is>
      </c>
      <c r="C20" s="45" t="inlineStr">
        <is>
          <t>Priya Patel</t>
        </is>
      </c>
      <c r="D20" s="45" t="inlineStr">
        <is>
          <t>Proposal Sent</t>
        </is>
      </c>
      <c r="E20" s="46" t="inlineStr">
        <is>
          <t>2026-04-18</t>
        </is>
      </c>
      <c r="F20" s="47" t="n">
        <v>54000</v>
      </c>
      <c r="G20" s="46" t="n">
        <v>19</v>
      </c>
      <c r="H20" s="56" t="inlineStr">
        <is>
          <t>Medium</t>
        </is>
      </c>
      <c r="I20" s="46" t="inlineStr">
        <is>
          <t>Inbound</t>
        </is>
      </c>
      <c r="J20" s="49">
        <f>IF(B20="","",COUNTIF(C$12:C$111,C20))</f>
        <v/>
      </c>
    </row>
    <row r="21" ht="18" customHeight="1" s="34">
      <c r="A21" s="50">
        <f>IF(B21&lt;&gt;"",ROW()-11,"")</f>
        <v/>
      </c>
      <c r="B21" s="51" t="inlineStr">
        <is>
          <t>Jetstream</t>
        </is>
      </c>
      <c r="C21" s="51" t="inlineStr">
        <is>
          <t>Tyler Brooks</t>
        </is>
      </c>
      <c r="D21" s="51" t="inlineStr">
        <is>
          <t>Closed-Lost</t>
        </is>
      </c>
      <c r="E21" s="52" t="inlineStr">
        <is>
          <t>2026-03-15</t>
        </is>
      </c>
      <c r="F21" s="53" t="n">
        <v>41000</v>
      </c>
      <c r="G21" s="52" t="n">
        <v>45</v>
      </c>
      <c r="H21" s="54" t="inlineStr">
        <is>
          <t>Low</t>
        </is>
      </c>
      <c r="I21" s="52" t="inlineStr">
        <is>
          <t>Event</t>
        </is>
      </c>
      <c r="J21" s="55">
        <f>IF(B21="","",COUNTIF(C$12:C$111,C21))</f>
        <v/>
      </c>
    </row>
    <row r="22" ht="18" customHeight="1" s="34">
      <c r="A22" s="44">
        <f>IF(B22&lt;&gt;"",ROW()-11,"")</f>
        <v/>
      </c>
      <c r="B22" s="45" t="inlineStr">
        <is>
          <t>Keystone Partners</t>
        </is>
      </c>
      <c r="C22" s="45" t="inlineStr">
        <is>
          <t>Alexis Chen</t>
        </is>
      </c>
      <c r="D22" s="45" t="inlineStr">
        <is>
          <t>Demo Scheduled</t>
        </is>
      </c>
      <c r="E22" s="46" t="inlineStr">
        <is>
          <t>2026-05-12</t>
        </is>
      </c>
      <c r="F22" s="47" t="n">
        <v>27000</v>
      </c>
      <c r="G22" s="46" t="n">
        <v>7</v>
      </c>
      <c r="H22" s="56" t="inlineStr">
        <is>
          <t>Medium</t>
        </is>
      </c>
      <c r="I22" s="46" t="inlineStr">
        <is>
          <t>Referral</t>
        </is>
      </c>
      <c r="J22" s="49">
        <f>IF(B22="","",COUNTIF(C$12:C$111,C22))</f>
        <v/>
      </c>
    </row>
    <row r="23" ht="18" customHeight="1" s="34">
      <c r="A23" s="50">
        <f>IF(B23&lt;&gt;"",ROW()-11,"")</f>
        <v/>
      </c>
      <c r="B23" s="51" t="inlineStr">
        <is>
          <t>Landmark Corp</t>
        </is>
      </c>
      <c r="C23" s="51" t="inlineStr">
        <is>
          <t>Nadia Okonkwo</t>
        </is>
      </c>
      <c r="D23" s="51" t="inlineStr">
        <is>
          <t>Closed-Won</t>
        </is>
      </c>
      <c r="E23" s="52" t="inlineStr">
        <is>
          <t>2026-04-22</t>
        </is>
      </c>
      <c r="F23" s="53" t="n">
        <v>88000</v>
      </c>
      <c r="G23" s="52" t="n">
        <v>15</v>
      </c>
      <c r="H23" s="54" t="inlineStr">
        <is>
          <t>Low</t>
        </is>
      </c>
      <c r="I23" s="52" t="inlineStr">
        <is>
          <t>Inbound</t>
        </is>
      </c>
      <c r="J23" s="55">
        <f>IF(B23="","",COUNTIF(C$12:C$111,C23))</f>
        <v/>
      </c>
    </row>
    <row r="24" ht="18" customHeight="1" s="34">
      <c r="A24" s="44">
        <f>IF(B24&lt;&gt;"",ROW()-11,"")</f>
        <v/>
      </c>
      <c r="B24" s="45" t="inlineStr">
        <is>
          <t>Meridian Co</t>
        </is>
      </c>
      <c r="C24" s="45" t="inlineStr">
        <is>
          <t>Jordan Kim</t>
        </is>
      </c>
      <c r="D24" s="45" t="inlineStr">
        <is>
          <t>Negotiation</t>
        </is>
      </c>
      <c r="E24" s="46" t="inlineStr">
        <is>
          <t>2026-05-08</t>
        </is>
      </c>
      <c r="F24" s="47" t="n">
        <v>69000</v>
      </c>
      <c r="G24" s="46" t="n">
        <v>11</v>
      </c>
      <c r="H24" s="48" t="inlineStr">
        <is>
          <t>High</t>
        </is>
      </c>
      <c r="I24" s="46" t="inlineStr">
        <is>
          <t>Partner</t>
        </is>
      </c>
      <c r="J24" s="49">
        <f>IF(B24="","",COUNTIF(C$12:C$111,C24))</f>
        <v/>
      </c>
    </row>
    <row r="25" ht="18" customHeight="1" s="34">
      <c r="A25" s="50">
        <f>IF(B25&lt;&gt;"",ROW()-11,"")</f>
        <v/>
      </c>
      <c r="B25" s="51" t="inlineStr">
        <is>
          <t>Nexus Group</t>
        </is>
      </c>
      <c r="C25" s="51" t="inlineStr">
        <is>
          <t>Marcus Webb</t>
        </is>
      </c>
      <c r="D25" s="51" t="inlineStr">
        <is>
          <t>Qualification</t>
        </is>
      </c>
      <c r="E25" s="52" t="inlineStr">
        <is>
          <t>2026-05-25</t>
        </is>
      </c>
      <c r="F25" s="53" t="n">
        <v>19000</v>
      </c>
      <c r="G25" s="52" t="n">
        <v>6</v>
      </c>
      <c r="H25" s="54" t="inlineStr">
        <is>
          <t>Low</t>
        </is>
      </c>
      <c r="I25" s="52" t="inlineStr">
        <is>
          <t>Outbound</t>
        </is>
      </c>
      <c r="J25" s="55">
        <f>IF(B25="","",COUNTIF(C$12:C$111,C25))</f>
        <v/>
      </c>
    </row>
    <row r="26" ht="18" customHeight="1" s="34">
      <c r="A26" s="44">
        <f>IF(B26&lt;&gt;"",ROW()-11,"")</f>
        <v/>
      </c>
      <c r="B26" s="45" t="inlineStr">
        <is>
          <t>Orbital Tech</t>
        </is>
      </c>
      <c r="C26" s="45" t="inlineStr">
        <is>
          <t>Samantha Lee</t>
        </is>
      </c>
      <c r="D26" s="45" t="inlineStr">
        <is>
          <t>Proposal Sent</t>
        </is>
      </c>
      <c r="E26" s="46" t="inlineStr">
        <is>
          <t>2026-04-30</t>
        </is>
      </c>
      <c r="F26" s="47" t="n">
        <v>48000</v>
      </c>
      <c r="G26" s="46" t="n">
        <v>24</v>
      </c>
      <c r="H26" s="48" t="inlineStr">
        <is>
          <t>High</t>
        </is>
      </c>
      <c r="I26" s="46" t="inlineStr">
        <is>
          <t>Referral</t>
        </is>
      </c>
      <c r="J26" s="49">
        <f>IF(B26="","",COUNTIF(C$12:C$111,C26))</f>
        <v/>
      </c>
    </row>
    <row r="27" ht="18" customHeight="1" s="34">
      <c r="A27" s="50">
        <f>IF(B27&lt;&gt;"",ROW()-11,"")</f>
        <v/>
      </c>
      <c r="B27" s="51" t="inlineStr">
        <is>
          <t>Pinnacle Systems</t>
        </is>
      </c>
      <c r="C27" s="51" t="inlineStr">
        <is>
          <t>Devon Ross</t>
        </is>
      </c>
      <c r="D27" s="51" t="inlineStr">
        <is>
          <t>Prospecting</t>
        </is>
      </c>
      <c r="E27" s="52" t="inlineStr">
        <is>
          <t>2026-05-28</t>
        </is>
      </c>
      <c r="F27" s="53" t="n">
        <v>23000</v>
      </c>
      <c r="G27" s="52" t="n">
        <v>4</v>
      </c>
      <c r="H27" s="56" t="inlineStr">
        <is>
          <t>Medium</t>
        </is>
      </c>
      <c r="I27" s="52" t="inlineStr">
        <is>
          <t>Inbound</t>
        </is>
      </c>
      <c r="J27" s="55">
        <f>IF(B27="","",COUNTIF(C$12:C$111,C27))</f>
        <v/>
      </c>
    </row>
    <row r="28" ht="18" customHeight="1" s="34">
      <c r="A28" s="44">
        <f>IF(B28&lt;&gt;"",ROW()-11,"")</f>
        <v/>
      </c>
      <c r="B28" s="45" t="inlineStr">
        <is>
          <t>Quantum LLC</t>
        </is>
      </c>
      <c r="C28" s="45" t="inlineStr">
        <is>
          <t>Tyler Brooks</t>
        </is>
      </c>
      <c r="D28" s="45" t="inlineStr">
        <is>
          <t>Demo Scheduled</t>
        </is>
      </c>
      <c r="E28" s="46" t="inlineStr">
        <is>
          <t>2026-05-18</t>
        </is>
      </c>
      <c r="F28" s="47" t="n">
        <v>35000</v>
      </c>
      <c r="G28" s="46" t="n">
        <v>9</v>
      </c>
      <c r="H28" s="56" t="inlineStr">
        <is>
          <t>Medium</t>
        </is>
      </c>
      <c r="I28" s="46" t="inlineStr">
        <is>
          <t>Event</t>
        </is>
      </c>
      <c r="J28" s="49">
        <f>IF(B28="","",COUNTIF(C$12:C$111,C28))</f>
        <v/>
      </c>
    </row>
    <row r="29" ht="18" customHeight="1" s="34">
      <c r="A29" s="50">
        <f>IF(B29&lt;&gt;"",ROW()-11,"")</f>
        <v/>
      </c>
      <c r="B29" s="51" t="inlineStr">
        <is>
          <t>Redwood Inc</t>
        </is>
      </c>
      <c r="C29" s="51" t="inlineStr">
        <is>
          <t>Priya Patel</t>
        </is>
      </c>
      <c r="D29" s="51" t="inlineStr">
        <is>
          <t>Closed-Won</t>
        </is>
      </c>
      <c r="E29" s="52" t="inlineStr">
        <is>
          <t>2026-03-28</t>
        </is>
      </c>
      <c r="F29" s="53" t="n">
        <v>57000</v>
      </c>
      <c r="G29" s="52" t="n">
        <v>33</v>
      </c>
      <c r="H29" s="54" t="inlineStr">
        <is>
          <t>Low</t>
        </is>
      </c>
      <c r="I29" s="52" t="inlineStr">
        <is>
          <t>Partner</t>
        </is>
      </c>
      <c r="J29" s="55">
        <f>IF(B29="","",COUNTIF(C$12:C$111,C29))</f>
        <v/>
      </c>
    </row>
    <row r="30" ht="18" customHeight="1" s="34">
      <c r="A30" s="44">
        <f>IF(B30&lt;&gt;"",ROW()-11,"")</f>
        <v/>
      </c>
      <c r="B30" s="45" t="inlineStr">
        <is>
          <t>Summit Partners</t>
        </is>
      </c>
      <c r="C30" s="45" t="inlineStr">
        <is>
          <t>Alexis Chen</t>
        </is>
      </c>
      <c r="D30" s="45" t="inlineStr">
        <is>
          <t>Negotiation</t>
        </is>
      </c>
      <c r="E30" s="46" t="inlineStr">
        <is>
          <t>2026-05-02</t>
        </is>
      </c>
      <c r="F30" s="47" t="n">
        <v>72000</v>
      </c>
      <c r="G30" s="46" t="n">
        <v>17</v>
      </c>
      <c r="H30" s="48" t="inlineStr">
        <is>
          <t>High</t>
        </is>
      </c>
      <c r="I30" s="46" t="inlineStr">
        <is>
          <t>Inbound</t>
        </is>
      </c>
      <c r="J30" s="49">
        <f>IF(B30="","",COUNTIF(C$12:C$111,C30))</f>
        <v/>
      </c>
    </row>
    <row r="31" ht="18" customHeight="1" s="34">
      <c r="A31" s="50">
        <f>IF(B31&lt;&gt;"",ROW()-11,"")</f>
        <v/>
      </c>
      <c r="B31" s="51" t="inlineStr">
        <is>
          <t>Trident Co</t>
        </is>
      </c>
      <c r="C31" s="51" t="inlineStr">
        <is>
          <t>Nadia Okonkwo</t>
        </is>
      </c>
      <c r="D31" s="51" t="inlineStr">
        <is>
          <t>Qualification</t>
        </is>
      </c>
      <c r="E31" s="52" t="inlineStr">
        <is>
          <t>2026-05-24</t>
        </is>
      </c>
      <c r="F31" s="53" t="n">
        <v>26000</v>
      </c>
      <c r="G31" s="52" t="n">
        <v>8</v>
      </c>
      <c r="H31" s="54" t="inlineStr">
        <is>
          <t>Low</t>
        </is>
      </c>
      <c r="I31" s="52" t="inlineStr">
        <is>
          <t>Outbound</t>
        </is>
      </c>
      <c r="J31" s="55">
        <f>IF(B31="","",COUNTIF(C$12:C$111,C31))</f>
        <v/>
      </c>
    </row>
    <row r="32" ht="18" customHeight="1" s="34">
      <c r="A32" s="44">
        <f>IF(B32&lt;&gt;"",ROW()-11,"")</f>
        <v/>
      </c>
      <c r="B32" s="45" t="inlineStr">
        <is>
          <t>Unified Corp</t>
        </is>
      </c>
      <c r="C32" s="45" t="inlineStr">
        <is>
          <t>Jordan Kim</t>
        </is>
      </c>
      <c r="D32" s="45" t="inlineStr">
        <is>
          <t>Proposal Sent</t>
        </is>
      </c>
      <c r="E32" s="46" t="inlineStr">
        <is>
          <t>2026-04-25</t>
        </is>
      </c>
      <c r="F32" s="47" t="n">
        <v>44000</v>
      </c>
      <c r="G32" s="46" t="n">
        <v>21</v>
      </c>
      <c r="H32" s="56" t="inlineStr">
        <is>
          <t>Medium</t>
        </is>
      </c>
      <c r="I32" s="46" t="inlineStr">
        <is>
          <t>Referral</t>
        </is>
      </c>
      <c r="J32" s="49">
        <f>IF(B32="","",COUNTIF(C$12:C$111,C32))</f>
        <v/>
      </c>
    </row>
    <row r="33" ht="18" customHeight="1" s="34">
      <c r="A33" s="50">
        <f>IF(B33&lt;&gt;"",ROW()-11,"")</f>
        <v/>
      </c>
      <c r="B33" s="51" t="inlineStr">
        <is>
          <t>Vanguard LLC</t>
        </is>
      </c>
      <c r="C33" s="51" t="inlineStr">
        <is>
          <t>Marcus Webb</t>
        </is>
      </c>
      <c r="D33" s="51" t="inlineStr">
        <is>
          <t>Demo Scheduled</t>
        </is>
      </c>
      <c r="E33" s="52" t="inlineStr">
        <is>
          <t>2026-05-16</t>
        </is>
      </c>
      <c r="F33" s="53" t="n">
        <v>31000</v>
      </c>
      <c r="G33" s="52" t="n">
        <v>10</v>
      </c>
      <c r="H33" s="54" t="inlineStr">
        <is>
          <t>Low</t>
        </is>
      </c>
      <c r="I33" s="52" t="inlineStr">
        <is>
          <t>Event</t>
        </is>
      </c>
      <c r="J33" s="55">
        <f>IF(B33="","",COUNTIF(C$12:C$111,C33))</f>
        <v/>
      </c>
    </row>
    <row r="34" ht="18" customHeight="1" s="34">
      <c r="A34" s="44">
        <f>IF(B34&lt;&gt;"",ROW()-11,"")</f>
        <v/>
      </c>
      <c r="B34" s="45" t="inlineStr">
        <is>
          <t>Westgate Inc</t>
        </is>
      </c>
      <c r="C34" s="45" t="inlineStr">
        <is>
          <t>Samantha Lee</t>
        </is>
      </c>
      <c r="D34" s="45" t="inlineStr">
        <is>
          <t>Closed-Won</t>
        </is>
      </c>
      <c r="E34" s="46" t="inlineStr">
        <is>
          <t>2026-04-05</t>
        </is>
      </c>
      <c r="F34" s="47" t="n">
        <v>66000</v>
      </c>
      <c r="G34" s="46" t="n">
        <v>29</v>
      </c>
      <c r="H34" s="54" t="inlineStr">
        <is>
          <t>Low</t>
        </is>
      </c>
      <c r="I34" s="46" t="inlineStr">
        <is>
          <t>Inbound</t>
        </is>
      </c>
      <c r="J34" s="49">
        <f>IF(B34="","",COUNTIF(C$12:C$111,C34))</f>
        <v/>
      </c>
    </row>
    <row r="35" ht="18" customHeight="1" s="34">
      <c r="A35" s="50">
        <f>IF(B35&lt;&gt;"",ROW()-11,"")</f>
        <v/>
      </c>
      <c r="B35" s="51" t="inlineStr">
        <is>
          <t>Xcel Partners</t>
        </is>
      </c>
      <c r="C35" s="51" t="inlineStr">
        <is>
          <t>Devon Ross</t>
        </is>
      </c>
      <c r="D35" s="51" t="inlineStr">
        <is>
          <t>Closed-Lost</t>
        </is>
      </c>
      <c r="E35" s="52" t="inlineStr">
        <is>
          <t>2026-03-10</t>
        </is>
      </c>
      <c r="F35" s="53" t="n">
        <v>38000</v>
      </c>
      <c r="G35" s="52" t="n">
        <v>42</v>
      </c>
      <c r="H35" s="54" t="inlineStr">
        <is>
          <t>Low</t>
        </is>
      </c>
      <c r="I35" s="52" t="inlineStr">
        <is>
          <t>Partner</t>
        </is>
      </c>
      <c r="J35" s="55">
        <f>IF(B35="","",COUNTIF(C$12:C$111,C35))</f>
        <v/>
      </c>
    </row>
    <row r="36" ht="18" customHeight="1" s="34">
      <c r="A36" s="44">
        <f>IF(B36&lt;&gt;"",ROW()-11,"")</f>
        <v/>
      </c>
      <c r="B36" s="45" t="inlineStr">
        <is>
          <t>Yellowstone Co</t>
        </is>
      </c>
      <c r="C36" s="45" t="inlineStr">
        <is>
          <t>Tyler Brooks</t>
        </is>
      </c>
      <c r="D36" s="45" t="inlineStr">
        <is>
          <t>Negotiation</t>
        </is>
      </c>
      <c r="E36" s="46" t="inlineStr">
        <is>
          <t>2026-05-10</t>
        </is>
      </c>
      <c r="F36" s="47" t="n">
        <v>53000</v>
      </c>
      <c r="G36" s="46" t="n">
        <v>13</v>
      </c>
      <c r="H36" s="48" t="inlineStr">
        <is>
          <t>High</t>
        </is>
      </c>
      <c r="I36" s="46" t="inlineStr">
        <is>
          <t>Referral</t>
        </is>
      </c>
      <c r="J36" s="49">
        <f>IF(B36="","",COUNTIF(C$12:C$111,C36))</f>
        <v/>
      </c>
    </row>
    <row r="37" ht="18" customHeight="1" s="34">
      <c r="A37" s="50">
        <f>IF(B37&lt;&gt;"",ROW()-11,"")</f>
        <v/>
      </c>
      <c r="B37" s="51" t="n"/>
      <c r="C37" s="51" t="n"/>
      <c r="D37" s="51" t="n"/>
      <c r="E37" s="52" t="n"/>
      <c r="F37" s="53" t="n"/>
      <c r="G37" s="52" t="n"/>
      <c r="H37" s="52" t="n"/>
      <c r="I37" s="52" t="n"/>
      <c r="J37" s="55">
        <f>IF(B37="","",COUNTIF(C$12:C$111,C37))</f>
        <v/>
      </c>
    </row>
    <row r="38" ht="18" customHeight="1" s="34">
      <c r="A38" s="44">
        <f>IF(B38&lt;&gt;"",ROW()-11,"")</f>
        <v/>
      </c>
      <c r="B38" s="45" t="n"/>
      <c r="C38" s="45" t="n"/>
      <c r="D38" s="45" t="n"/>
      <c r="E38" s="46" t="n"/>
      <c r="F38" s="47" t="n"/>
      <c r="G38" s="46" t="n"/>
      <c r="H38" s="46" t="n"/>
      <c r="I38" s="46" t="n"/>
      <c r="J38" s="49">
        <f>IF(B38="","",COUNTIF(C$12:C$111,C38))</f>
        <v/>
      </c>
    </row>
    <row r="39" ht="18" customHeight="1" s="34">
      <c r="A39" s="50">
        <f>IF(B39&lt;&gt;"",ROW()-11,"")</f>
        <v/>
      </c>
      <c r="B39" s="51" t="n"/>
      <c r="C39" s="51" t="n"/>
      <c r="D39" s="51" t="n"/>
      <c r="E39" s="52" t="n"/>
      <c r="F39" s="53" t="n"/>
      <c r="G39" s="52" t="n"/>
      <c r="H39" s="52" t="n"/>
      <c r="I39" s="52" t="n"/>
      <c r="J39" s="55">
        <f>IF(B39="","",COUNTIF(C$12:C$111,C39))</f>
        <v/>
      </c>
    </row>
    <row r="40" ht="18" customHeight="1" s="34">
      <c r="A40" s="44">
        <f>IF(B40&lt;&gt;"",ROW()-11,"")</f>
        <v/>
      </c>
      <c r="B40" s="45" t="n"/>
      <c r="C40" s="45" t="n"/>
      <c r="D40" s="45" t="n"/>
      <c r="E40" s="46" t="n"/>
      <c r="F40" s="47" t="n"/>
      <c r="G40" s="46" t="n"/>
      <c r="H40" s="46" t="n"/>
      <c r="I40" s="46" t="n"/>
      <c r="J40" s="49">
        <f>IF(B40="","",COUNTIF(C$12:C$111,C40))</f>
        <v/>
      </c>
    </row>
    <row r="41" ht="18" customHeight="1" s="34">
      <c r="A41" s="50">
        <f>IF(B41&lt;&gt;"",ROW()-11,"")</f>
        <v/>
      </c>
      <c r="B41" s="51" t="n"/>
      <c r="C41" s="51" t="n"/>
      <c r="D41" s="51" t="n"/>
      <c r="E41" s="52" t="n"/>
      <c r="F41" s="53" t="n"/>
      <c r="G41" s="52" t="n"/>
      <c r="H41" s="52" t="n"/>
      <c r="I41" s="52" t="n"/>
      <c r="J41" s="55">
        <f>IF(B41="","",COUNTIF(C$12:C$111,C41))</f>
        <v/>
      </c>
    </row>
    <row r="42" ht="18" customHeight="1" s="34">
      <c r="A42" s="44">
        <f>IF(B42&lt;&gt;"",ROW()-11,"")</f>
        <v/>
      </c>
      <c r="B42" s="45" t="n"/>
      <c r="C42" s="45" t="n"/>
      <c r="D42" s="45" t="n"/>
      <c r="E42" s="46" t="n"/>
      <c r="F42" s="47" t="n"/>
      <c r="G42" s="46" t="n"/>
      <c r="H42" s="46" t="n"/>
      <c r="I42" s="46" t="n"/>
      <c r="J42" s="49">
        <f>IF(B42="","",COUNTIF(C$12:C$111,C42))</f>
        <v/>
      </c>
    </row>
    <row r="43" ht="18" customHeight="1" s="34">
      <c r="A43" s="50">
        <f>IF(B43&lt;&gt;"",ROW()-11,"")</f>
        <v/>
      </c>
      <c r="B43" s="51" t="n"/>
      <c r="C43" s="51" t="n"/>
      <c r="D43" s="51" t="n"/>
      <c r="E43" s="52" t="n"/>
      <c r="F43" s="53" t="n"/>
      <c r="G43" s="52" t="n"/>
      <c r="H43" s="52" t="n"/>
      <c r="I43" s="52" t="n"/>
      <c r="J43" s="55">
        <f>IF(B43="","",COUNTIF(C$12:C$111,C43))</f>
        <v/>
      </c>
    </row>
    <row r="44" ht="18" customHeight="1" s="34">
      <c r="A44" s="44">
        <f>IF(B44&lt;&gt;"",ROW()-11,"")</f>
        <v/>
      </c>
      <c r="B44" s="45" t="n"/>
      <c r="C44" s="45" t="n"/>
      <c r="D44" s="45" t="n"/>
      <c r="E44" s="46" t="n"/>
      <c r="F44" s="47" t="n"/>
      <c r="G44" s="46" t="n"/>
      <c r="H44" s="46" t="n"/>
      <c r="I44" s="46" t="n"/>
      <c r="J44" s="49">
        <f>IF(B44="","",COUNTIF(C$12:C$111,C44))</f>
        <v/>
      </c>
    </row>
    <row r="45" ht="18" customHeight="1" s="34">
      <c r="A45" s="50">
        <f>IF(B45&lt;&gt;"",ROW()-11,"")</f>
        <v/>
      </c>
      <c r="B45" s="51" t="n"/>
      <c r="C45" s="51" t="n"/>
      <c r="D45" s="51" t="n"/>
      <c r="E45" s="52" t="n"/>
      <c r="F45" s="53" t="n"/>
      <c r="G45" s="52" t="n"/>
      <c r="H45" s="52" t="n"/>
      <c r="I45" s="52" t="n"/>
      <c r="J45" s="55">
        <f>IF(B45="","",COUNTIF(C$12:C$111,C45))</f>
        <v/>
      </c>
    </row>
    <row r="46" ht="18" customHeight="1" s="34">
      <c r="A46" s="44">
        <f>IF(B46&lt;&gt;"",ROW()-11,"")</f>
        <v/>
      </c>
      <c r="B46" s="45" t="n"/>
      <c r="C46" s="45" t="n"/>
      <c r="D46" s="45" t="n"/>
      <c r="E46" s="46" t="n"/>
      <c r="F46" s="47" t="n"/>
      <c r="G46" s="46" t="n"/>
      <c r="H46" s="46" t="n"/>
      <c r="I46" s="46" t="n"/>
      <c r="J46" s="49">
        <f>IF(B46="","",COUNTIF(C$12:C$111,C46))</f>
        <v/>
      </c>
    </row>
    <row r="47" ht="18" customHeight="1" s="34">
      <c r="A47" s="50">
        <f>IF(B47&lt;&gt;"",ROW()-11,"")</f>
        <v/>
      </c>
      <c r="B47" s="51" t="n"/>
      <c r="C47" s="51" t="n"/>
      <c r="D47" s="51" t="n"/>
      <c r="E47" s="52" t="n"/>
      <c r="F47" s="53" t="n"/>
      <c r="G47" s="52" t="n"/>
      <c r="H47" s="52" t="n"/>
      <c r="I47" s="52" t="n"/>
      <c r="J47" s="55">
        <f>IF(B47="","",COUNTIF(C$12:C$111,C47))</f>
        <v/>
      </c>
    </row>
    <row r="48" ht="18" customHeight="1" s="34">
      <c r="A48" s="44">
        <f>IF(B48&lt;&gt;"",ROW()-11,"")</f>
        <v/>
      </c>
      <c r="B48" s="45" t="n"/>
      <c r="C48" s="45" t="n"/>
      <c r="D48" s="45" t="n"/>
      <c r="E48" s="46" t="n"/>
      <c r="F48" s="47" t="n"/>
      <c r="G48" s="46" t="n"/>
      <c r="H48" s="46" t="n"/>
      <c r="I48" s="46" t="n"/>
      <c r="J48" s="49">
        <f>IF(B48="","",COUNTIF(C$12:C$111,C48))</f>
        <v/>
      </c>
    </row>
    <row r="49" ht="18" customHeight="1" s="34">
      <c r="A49" s="50">
        <f>IF(B49&lt;&gt;"",ROW()-11,"")</f>
        <v/>
      </c>
      <c r="B49" s="51" t="n"/>
      <c r="C49" s="51" t="n"/>
      <c r="D49" s="51" t="n"/>
      <c r="E49" s="52" t="n"/>
      <c r="F49" s="53" t="n"/>
      <c r="G49" s="52" t="n"/>
      <c r="H49" s="52" t="n"/>
      <c r="I49" s="52" t="n"/>
      <c r="J49" s="55">
        <f>IF(B49="","",COUNTIF(C$12:C$111,C49))</f>
        <v/>
      </c>
    </row>
    <row r="50" ht="18" customHeight="1" s="34">
      <c r="A50" s="44">
        <f>IF(B50&lt;&gt;"",ROW()-11,"")</f>
        <v/>
      </c>
      <c r="B50" s="45" t="n"/>
      <c r="C50" s="45" t="n"/>
      <c r="D50" s="45" t="n"/>
      <c r="E50" s="46" t="n"/>
      <c r="F50" s="47" t="n"/>
      <c r="G50" s="46" t="n"/>
      <c r="H50" s="46" t="n"/>
      <c r="I50" s="46" t="n"/>
      <c r="J50" s="49">
        <f>IF(B50="","",COUNTIF(C$12:C$111,C50))</f>
        <v/>
      </c>
    </row>
    <row r="51" ht="18" customHeight="1" s="34">
      <c r="A51" s="50">
        <f>IF(B51&lt;&gt;"",ROW()-11,"")</f>
        <v/>
      </c>
      <c r="B51" s="51" t="n"/>
      <c r="C51" s="51" t="n"/>
      <c r="D51" s="51" t="n"/>
      <c r="E51" s="52" t="n"/>
      <c r="F51" s="53" t="n"/>
      <c r="G51" s="52" t="n"/>
      <c r="H51" s="52" t="n"/>
      <c r="I51" s="52" t="n"/>
      <c r="J51" s="55">
        <f>IF(B51="","",COUNTIF(C$12:C$111,C51))</f>
        <v/>
      </c>
    </row>
    <row r="52" ht="18" customHeight="1" s="34">
      <c r="A52" s="44">
        <f>IF(B52&lt;&gt;"",ROW()-11,"")</f>
        <v/>
      </c>
      <c r="B52" s="45" t="n"/>
      <c r="C52" s="45" t="n"/>
      <c r="D52" s="45" t="n"/>
      <c r="E52" s="46" t="n"/>
      <c r="F52" s="47" t="n"/>
      <c r="G52" s="46" t="n"/>
      <c r="H52" s="46" t="n"/>
      <c r="I52" s="46" t="n"/>
      <c r="J52" s="49">
        <f>IF(B52="","",COUNTIF(C$12:C$111,C52))</f>
        <v/>
      </c>
    </row>
    <row r="53" ht="18" customHeight="1" s="34">
      <c r="A53" s="50">
        <f>IF(B53&lt;&gt;"",ROW()-11,"")</f>
        <v/>
      </c>
      <c r="B53" s="51" t="n"/>
      <c r="C53" s="51" t="n"/>
      <c r="D53" s="51" t="n"/>
      <c r="E53" s="52" t="n"/>
      <c r="F53" s="53" t="n"/>
      <c r="G53" s="52" t="n"/>
      <c r="H53" s="52" t="n"/>
      <c r="I53" s="52" t="n"/>
      <c r="J53" s="55">
        <f>IF(B53="","",COUNTIF(C$12:C$111,C53))</f>
        <v/>
      </c>
    </row>
    <row r="54" ht="18" customHeight="1" s="34">
      <c r="A54" s="44">
        <f>IF(B54&lt;&gt;"",ROW()-11,"")</f>
        <v/>
      </c>
      <c r="B54" s="45" t="n"/>
      <c r="C54" s="45" t="n"/>
      <c r="D54" s="45" t="n"/>
      <c r="E54" s="46" t="n"/>
      <c r="F54" s="47" t="n"/>
      <c r="G54" s="46" t="n"/>
      <c r="H54" s="46" t="n"/>
      <c r="I54" s="46" t="n"/>
      <c r="J54" s="49">
        <f>IF(B54="","",COUNTIF(C$12:C$111,C54))</f>
        <v/>
      </c>
    </row>
    <row r="55" ht="18" customHeight="1" s="34">
      <c r="A55" s="50">
        <f>IF(B55&lt;&gt;"",ROW()-11,"")</f>
        <v/>
      </c>
      <c r="B55" s="51" t="n"/>
      <c r="C55" s="51" t="n"/>
      <c r="D55" s="51" t="n"/>
      <c r="E55" s="52" t="n"/>
      <c r="F55" s="53" t="n"/>
      <c r="G55" s="52" t="n"/>
      <c r="H55" s="52" t="n"/>
      <c r="I55" s="52" t="n"/>
      <c r="J55" s="55">
        <f>IF(B55="","",COUNTIF(C$12:C$111,C55))</f>
        <v/>
      </c>
    </row>
    <row r="56" ht="18" customHeight="1" s="34">
      <c r="A56" s="44">
        <f>IF(B56&lt;&gt;"",ROW()-11,"")</f>
        <v/>
      </c>
      <c r="B56" s="45" t="n"/>
      <c r="C56" s="45" t="n"/>
      <c r="D56" s="45" t="n"/>
      <c r="E56" s="46" t="n"/>
      <c r="F56" s="47" t="n"/>
      <c r="G56" s="46" t="n"/>
      <c r="H56" s="46" t="n"/>
      <c r="I56" s="46" t="n"/>
      <c r="J56" s="49">
        <f>IF(B56="","",COUNTIF(C$12:C$111,C56))</f>
        <v/>
      </c>
    </row>
    <row r="57" ht="18" customHeight="1" s="34">
      <c r="A57" s="50">
        <f>IF(B57&lt;&gt;"",ROW()-11,"")</f>
        <v/>
      </c>
      <c r="B57" s="51" t="n"/>
      <c r="C57" s="51" t="n"/>
      <c r="D57" s="51" t="n"/>
      <c r="E57" s="52" t="n"/>
      <c r="F57" s="53" t="n"/>
      <c r="G57" s="52" t="n"/>
      <c r="H57" s="52" t="n"/>
      <c r="I57" s="52" t="n"/>
      <c r="J57" s="55">
        <f>IF(B57="","",COUNTIF(C$12:C$111,C57))</f>
        <v/>
      </c>
    </row>
    <row r="58" ht="18" customHeight="1" s="34">
      <c r="A58" s="44">
        <f>IF(B58&lt;&gt;"",ROW()-11,"")</f>
        <v/>
      </c>
      <c r="B58" s="45" t="n"/>
      <c r="C58" s="45" t="n"/>
      <c r="D58" s="45" t="n"/>
      <c r="E58" s="46" t="n"/>
      <c r="F58" s="47" t="n"/>
      <c r="G58" s="46" t="n"/>
      <c r="H58" s="46" t="n"/>
      <c r="I58" s="46" t="n"/>
      <c r="J58" s="49">
        <f>IF(B58="","",COUNTIF(C$12:C$111,C58))</f>
        <v/>
      </c>
    </row>
    <row r="59" ht="18" customHeight="1" s="34">
      <c r="A59" s="50">
        <f>IF(B59&lt;&gt;"",ROW()-11,"")</f>
        <v/>
      </c>
      <c r="B59" s="51" t="n"/>
      <c r="C59" s="51" t="n"/>
      <c r="D59" s="51" t="n"/>
      <c r="E59" s="52" t="n"/>
      <c r="F59" s="53" t="n"/>
      <c r="G59" s="52" t="n"/>
      <c r="H59" s="52" t="n"/>
      <c r="I59" s="52" t="n"/>
      <c r="J59" s="55">
        <f>IF(B59="","",COUNTIF(C$12:C$111,C59))</f>
        <v/>
      </c>
    </row>
    <row r="60" ht="18" customHeight="1" s="34">
      <c r="A60" s="44">
        <f>IF(B60&lt;&gt;"",ROW()-11,"")</f>
        <v/>
      </c>
      <c r="B60" s="45" t="n"/>
      <c r="C60" s="45" t="n"/>
      <c r="D60" s="45" t="n"/>
      <c r="E60" s="46" t="n"/>
      <c r="F60" s="47" t="n"/>
      <c r="G60" s="46" t="n"/>
      <c r="H60" s="46" t="n"/>
      <c r="I60" s="46" t="n"/>
      <c r="J60" s="49">
        <f>IF(B60="","",COUNTIF(C$12:C$111,C60))</f>
        <v/>
      </c>
    </row>
    <row r="61" ht="18" customHeight="1" s="34">
      <c r="A61" s="50">
        <f>IF(B61&lt;&gt;"",ROW()-11,"")</f>
        <v/>
      </c>
      <c r="B61" s="51" t="n"/>
      <c r="C61" s="51" t="n"/>
      <c r="D61" s="51" t="n"/>
      <c r="E61" s="52" t="n"/>
      <c r="F61" s="53" t="n"/>
      <c r="G61" s="52" t="n"/>
      <c r="H61" s="52" t="n"/>
      <c r="I61" s="52" t="n"/>
      <c r="J61" s="55">
        <f>IF(B61="","",COUNTIF(C$12:C$111,C61))</f>
        <v/>
      </c>
    </row>
    <row r="62" ht="18" customHeight="1" s="34">
      <c r="A62" s="44">
        <f>IF(B62&lt;&gt;"",ROW()-11,"")</f>
        <v/>
      </c>
      <c r="B62" s="45" t="n"/>
      <c r="C62" s="45" t="n"/>
      <c r="D62" s="45" t="n"/>
      <c r="E62" s="46" t="n"/>
      <c r="F62" s="47" t="n"/>
      <c r="G62" s="46" t="n"/>
      <c r="H62" s="46" t="n"/>
      <c r="I62" s="46" t="n"/>
      <c r="J62" s="49">
        <f>IF(B62="","",COUNTIF(C$12:C$111,C62))</f>
        <v/>
      </c>
    </row>
    <row r="63" ht="18" customHeight="1" s="34">
      <c r="A63" s="50">
        <f>IF(B63&lt;&gt;"",ROW()-11,"")</f>
        <v/>
      </c>
      <c r="B63" s="51" t="n"/>
      <c r="C63" s="51" t="n"/>
      <c r="D63" s="51" t="n"/>
      <c r="E63" s="52" t="n"/>
      <c r="F63" s="53" t="n"/>
      <c r="G63" s="52" t="n"/>
      <c r="H63" s="52" t="n"/>
      <c r="I63" s="52" t="n"/>
      <c r="J63" s="55">
        <f>IF(B63="","",COUNTIF(C$12:C$111,C63))</f>
        <v/>
      </c>
    </row>
    <row r="64" ht="18" customHeight="1" s="34">
      <c r="A64" s="44">
        <f>IF(B64&lt;&gt;"",ROW()-11,"")</f>
        <v/>
      </c>
      <c r="B64" s="45" t="n"/>
      <c r="C64" s="45" t="n"/>
      <c r="D64" s="45" t="n"/>
      <c r="E64" s="46" t="n"/>
      <c r="F64" s="47" t="n"/>
      <c r="G64" s="46" t="n"/>
      <c r="H64" s="46" t="n"/>
      <c r="I64" s="46" t="n"/>
      <c r="J64" s="49">
        <f>IF(B64="","",COUNTIF(C$12:C$111,C64))</f>
        <v/>
      </c>
    </row>
    <row r="65" ht="18" customHeight="1" s="34">
      <c r="A65" s="50">
        <f>IF(B65&lt;&gt;"",ROW()-11,"")</f>
        <v/>
      </c>
      <c r="B65" s="51" t="n"/>
      <c r="C65" s="51" t="n"/>
      <c r="D65" s="51" t="n"/>
      <c r="E65" s="52" t="n"/>
      <c r="F65" s="53" t="n"/>
      <c r="G65" s="52" t="n"/>
      <c r="H65" s="52" t="n"/>
      <c r="I65" s="52" t="n"/>
      <c r="J65" s="55">
        <f>IF(B65="","",COUNTIF(C$12:C$111,C65))</f>
        <v/>
      </c>
    </row>
    <row r="66" ht="18" customHeight="1" s="34">
      <c r="A66" s="44">
        <f>IF(B66&lt;&gt;"",ROW()-11,"")</f>
        <v/>
      </c>
      <c r="B66" s="45" t="n"/>
      <c r="C66" s="45" t="n"/>
      <c r="D66" s="45" t="n"/>
      <c r="E66" s="46" t="n"/>
      <c r="F66" s="47" t="n"/>
      <c r="G66" s="46" t="n"/>
      <c r="H66" s="46" t="n"/>
      <c r="I66" s="46" t="n"/>
      <c r="J66" s="49">
        <f>IF(B66="","",COUNTIF(C$12:C$111,C66))</f>
        <v/>
      </c>
    </row>
    <row r="67" ht="18" customHeight="1" s="34">
      <c r="A67" s="50">
        <f>IF(B67&lt;&gt;"",ROW()-11,"")</f>
        <v/>
      </c>
      <c r="B67" s="51" t="n"/>
      <c r="C67" s="51" t="n"/>
      <c r="D67" s="51" t="n"/>
      <c r="E67" s="52" t="n"/>
      <c r="F67" s="53" t="n"/>
      <c r="G67" s="52" t="n"/>
      <c r="H67" s="52" t="n"/>
      <c r="I67" s="52" t="n"/>
      <c r="J67" s="55">
        <f>IF(B67="","",COUNTIF(C$12:C$111,C67))</f>
        <v/>
      </c>
    </row>
    <row r="68" ht="18" customHeight="1" s="34">
      <c r="A68" s="44">
        <f>IF(B68&lt;&gt;"",ROW()-11,"")</f>
        <v/>
      </c>
      <c r="B68" s="45" t="n"/>
      <c r="C68" s="45" t="n"/>
      <c r="D68" s="45" t="n"/>
      <c r="E68" s="46" t="n"/>
      <c r="F68" s="47" t="n"/>
      <c r="G68" s="46" t="n"/>
      <c r="H68" s="46" t="n"/>
      <c r="I68" s="46" t="n"/>
      <c r="J68" s="49">
        <f>IF(B68="","",COUNTIF(C$12:C$111,C68))</f>
        <v/>
      </c>
    </row>
    <row r="69" ht="18" customHeight="1" s="34">
      <c r="A69" s="50">
        <f>IF(B69&lt;&gt;"",ROW()-11,"")</f>
        <v/>
      </c>
      <c r="B69" s="51" t="n"/>
      <c r="C69" s="51" t="n"/>
      <c r="D69" s="51" t="n"/>
      <c r="E69" s="52" t="n"/>
      <c r="F69" s="53" t="n"/>
      <c r="G69" s="52" t="n"/>
      <c r="H69" s="52" t="n"/>
      <c r="I69" s="52" t="n"/>
      <c r="J69" s="55">
        <f>IF(B69="","",COUNTIF(C$12:C$111,C69))</f>
        <v/>
      </c>
    </row>
    <row r="70" ht="18" customHeight="1" s="34">
      <c r="A70" s="44">
        <f>IF(B70&lt;&gt;"",ROW()-11,"")</f>
        <v/>
      </c>
      <c r="B70" s="45" t="n"/>
      <c r="C70" s="45" t="n"/>
      <c r="D70" s="45" t="n"/>
      <c r="E70" s="46" t="n"/>
      <c r="F70" s="47" t="n"/>
      <c r="G70" s="46" t="n"/>
      <c r="H70" s="46" t="n"/>
      <c r="I70" s="46" t="n"/>
      <c r="J70" s="49">
        <f>IF(B70="","",COUNTIF(C$12:C$111,C70))</f>
        <v/>
      </c>
    </row>
    <row r="71" ht="18" customHeight="1" s="34">
      <c r="A71" s="50">
        <f>IF(B71&lt;&gt;"",ROW()-11,"")</f>
        <v/>
      </c>
      <c r="B71" s="51" t="n"/>
      <c r="C71" s="51" t="n"/>
      <c r="D71" s="51" t="n"/>
      <c r="E71" s="52" t="n"/>
      <c r="F71" s="53" t="n"/>
      <c r="G71" s="52" t="n"/>
      <c r="H71" s="52" t="n"/>
      <c r="I71" s="52" t="n"/>
      <c r="J71" s="55">
        <f>IF(B71="","",COUNTIF(C$12:C$111,C71))</f>
        <v/>
      </c>
    </row>
    <row r="72" ht="18" customHeight="1" s="34">
      <c r="A72" s="44">
        <f>IF(B72&lt;&gt;"",ROW()-11,"")</f>
        <v/>
      </c>
      <c r="B72" s="45" t="n"/>
      <c r="C72" s="45" t="n"/>
      <c r="D72" s="45" t="n"/>
      <c r="E72" s="46" t="n"/>
      <c r="F72" s="47" t="n"/>
      <c r="G72" s="46" t="n"/>
      <c r="H72" s="46" t="n"/>
      <c r="I72" s="46" t="n"/>
      <c r="J72" s="49">
        <f>IF(B72="","",COUNTIF(C$12:C$111,C72))</f>
        <v/>
      </c>
    </row>
    <row r="73" ht="18" customHeight="1" s="34">
      <c r="A73" s="50">
        <f>IF(B73&lt;&gt;"",ROW()-11,"")</f>
        <v/>
      </c>
      <c r="B73" s="51" t="n"/>
      <c r="C73" s="51" t="n"/>
      <c r="D73" s="51" t="n"/>
      <c r="E73" s="52" t="n"/>
      <c r="F73" s="53" t="n"/>
      <c r="G73" s="52" t="n"/>
      <c r="H73" s="52" t="n"/>
      <c r="I73" s="52" t="n"/>
      <c r="J73" s="55">
        <f>IF(B73="","",COUNTIF(C$12:C$111,C73))</f>
        <v/>
      </c>
    </row>
    <row r="74" ht="18" customHeight="1" s="34">
      <c r="A74" s="44">
        <f>IF(B74&lt;&gt;"",ROW()-11,"")</f>
        <v/>
      </c>
      <c r="B74" s="45" t="n"/>
      <c r="C74" s="45" t="n"/>
      <c r="D74" s="45" t="n"/>
      <c r="E74" s="46" t="n"/>
      <c r="F74" s="47" t="n"/>
      <c r="G74" s="46" t="n"/>
      <c r="H74" s="46" t="n"/>
      <c r="I74" s="46" t="n"/>
      <c r="J74" s="49">
        <f>IF(B74="","",COUNTIF(C$12:C$111,C74))</f>
        <v/>
      </c>
    </row>
    <row r="75" ht="18" customHeight="1" s="34">
      <c r="A75" s="50">
        <f>IF(B75&lt;&gt;"",ROW()-11,"")</f>
        <v/>
      </c>
      <c r="B75" s="51" t="n"/>
      <c r="C75" s="51" t="n"/>
      <c r="D75" s="51" t="n"/>
      <c r="E75" s="52" t="n"/>
      <c r="F75" s="53" t="n"/>
      <c r="G75" s="52" t="n"/>
      <c r="H75" s="52" t="n"/>
      <c r="I75" s="52" t="n"/>
      <c r="J75" s="55">
        <f>IF(B75="","",COUNTIF(C$12:C$111,C75))</f>
        <v/>
      </c>
    </row>
    <row r="76" ht="18" customHeight="1" s="34">
      <c r="A76" s="44">
        <f>IF(B76&lt;&gt;"",ROW()-11,"")</f>
        <v/>
      </c>
      <c r="B76" s="45" t="n"/>
      <c r="C76" s="45" t="n"/>
      <c r="D76" s="45" t="n"/>
      <c r="E76" s="46" t="n"/>
      <c r="F76" s="47" t="n"/>
      <c r="G76" s="46" t="n"/>
      <c r="H76" s="46" t="n"/>
      <c r="I76" s="46" t="n"/>
      <c r="J76" s="49">
        <f>IF(B76="","",COUNTIF(C$12:C$111,C76))</f>
        <v/>
      </c>
    </row>
    <row r="77" ht="18" customHeight="1" s="34">
      <c r="A77" s="50">
        <f>IF(B77&lt;&gt;"",ROW()-11,"")</f>
        <v/>
      </c>
      <c r="B77" s="51" t="n"/>
      <c r="C77" s="51" t="n"/>
      <c r="D77" s="51" t="n"/>
      <c r="E77" s="52" t="n"/>
      <c r="F77" s="53" t="n"/>
      <c r="G77" s="52" t="n"/>
      <c r="H77" s="52" t="n"/>
      <c r="I77" s="52" t="n"/>
      <c r="J77" s="55">
        <f>IF(B77="","",COUNTIF(C$12:C$111,C77))</f>
        <v/>
      </c>
    </row>
    <row r="78" ht="18" customHeight="1" s="34">
      <c r="A78" s="44">
        <f>IF(B78&lt;&gt;"",ROW()-11,"")</f>
        <v/>
      </c>
      <c r="B78" s="45" t="n"/>
      <c r="C78" s="45" t="n"/>
      <c r="D78" s="45" t="n"/>
      <c r="E78" s="46" t="n"/>
      <c r="F78" s="47" t="n"/>
      <c r="G78" s="46" t="n"/>
      <c r="H78" s="46" t="n"/>
      <c r="I78" s="46" t="n"/>
      <c r="J78" s="49">
        <f>IF(B78="","",COUNTIF(C$12:C$111,C78))</f>
        <v/>
      </c>
    </row>
    <row r="79" ht="18" customHeight="1" s="34">
      <c r="A79" s="50">
        <f>IF(B79&lt;&gt;"",ROW()-11,"")</f>
        <v/>
      </c>
      <c r="B79" s="51" t="n"/>
      <c r="C79" s="51" t="n"/>
      <c r="D79" s="51" t="n"/>
      <c r="E79" s="52" t="n"/>
      <c r="F79" s="53" t="n"/>
      <c r="G79" s="52" t="n"/>
      <c r="H79" s="52" t="n"/>
      <c r="I79" s="52" t="n"/>
      <c r="J79" s="55">
        <f>IF(B79="","",COUNTIF(C$12:C$111,C79))</f>
        <v/>
      </c>
    </row>
    <row r="80" ht="18" customHeight="1" s="34">
      <c r="A80" s="44">
        <f>IF(B80&lt;&gt;"",ROW()-11,"")</f>
        <v/>
      </c>
      <c r="B80" s="45" t="n"/>
      <c r="C80" s="45" t="n"/>
      <c r="D80" s="45" t="n"/>
      <c r="E80" s="46" t="n"/>
      <c r="F80" s="47" t="n"/>
      <c r="G80" s="46" t="n"/>
      <c r="H80" s="46" t="n"/>
      <c r="I80" s="46" t="n"/>
      <c r="J80" s="49">
        <f>IF(B80="","",COUNTIF(C$12:C$111,C80))</f>
        <v/>
      </c>
    </row>
    <row r="81" ht="18" customHeight="1" s="34">
      <c r="A81" s="50">
        <f>IF(B81&lt;&gt;"",ROW()-11,"")</f>
        <v/>
      </c>
      <c r="B81" s="51" t="n"/>
      <c r="C81" s="51" t="n"/>
      <c r="D81" s="51" t="n"/>
      <c r="E81" s="52" t="n"/>
      <c r="F81" s="53" t="n"/>
      <c r="G81" s="52" t="n"/>
      <c r="H81" s="52" t="n"/>
      <c r="I81" s="52" t="n"/>
      <c r="J81" s="55">
        <f>IF(B81="","",COUNTIF(C$12:C$111,C81))</f>
        <v/>
      </c>
    </row>
    <row r="82" ht="18" customHeight="1" s="34">
      <c r="A82" s="44">
        <f>IF(B82&lt;&gt;"",ROW()-11,"")</f>
        <v/>
      </c>
      <c r="B82" s="45" t="n"/>
      <c r="C82" s="45" t="n"/>
      <c r="D82" s="45" t="n"/>
      <c r="E82" s="46" t="n"/>
      <c r="F82" s="47" t="n"/>
      <c r="G82" s="46" t="n"/>
      <c r="H82" s="46" t="n"/>
      <c r="I82" s="46" t="n"/>
      <c r="J82" s="49">
        <f>IF(B82="","",COUNTIF(C$12:C$111,C82))</f>
        <v/>
      </c>
    </row>
    <row r="83" ht="18" customHeight="1" s="34">
      <c r="A83" s="50">
        <f>IF(B83&lt;&gt;"",ROW()-11,"")</f>
        <v/>
      </c>
      <c r="B83" s="51" t="n"/>
      <c r="C83" s="51" t="n"/>
      <c r="D83" s="51" t="n"/>
      <c r="E83" s="52" t="n"/>
      <c r="F83" s="53" t="n"/>
      <c r="G83" s="52" t="n"/>
      <c r="H83" s="52" t="n"/>
      <c r="I83" s="52" t="n"/>
      <c r="J83" s="55">
        <f>IF(B83="","",COUNTIF(C$12:C$111,C83))</f>
        <v/>
      </c>
    </row>
    <row r="84" ht="18" customHeight="1" s="34">
      <c r="A84" s="44">
        <f>IF(B84&lt;&gt;"",ROW()-11,"")</f>
        <v/>
      </c>
      <c r="B84" s="45" t="n"/>
      <c r="C84" s="45" t="n"/>
      <c r="D84" s="45" t="n"/>
      <c r="E84" s="46" t="n"/>
      <c r="F84" s="47" t="n"/>
      <c r="G84" s="46" t="n"/>
      <c r="H84" s="46" t="n"/>
      <c r="I84" s="46" t="n"/>
      <c r="J84" s="49">
        <f>IF(B84="","",COUNTIF(C$12:C$111,C84))</f>
        <v/>
      </c>
    </row>
    <row r="85" ht="18" customHeight="1" s="34">
      <c r="A85" s="50">
        <f>IF(B85&lt;&gt;"",ROW()-11,"")</f>
        <v/>
      </c>
      <c r="B85" s="51" t="n"/>
      <c r="C85" s="51" t="n"/>
      <c r="D85" s="51" t="n"/>
      <c r="E85" s="52" t="n"/>
      <c r="F85" s="53" t="n"/>
      <c r="G85" s="52" t="n"/>
      <c r="H85" s="52" t="n"/>
      <c r="I85" s="52" t="n"/>
      <c r="J85" s="55">
        <f>IF(B85="","",COUNTIF(C$12:C$111,C85))</f>
        <v/>
      </c>
    </row>
    <row r="86" ht="18" customHeight="1" s="34">
      <c r="A86" s="44">
        <f>IF(B86&lt;&gt;"",ROW()-11,"")</f>
        <v/>
      </c>
      <c r="B86" s="45" t="n"/>
      <c r="C86" s="45" t="n"/>
      <c r="D86" s="45" t="n"/>
      <c r="E86" s="46" t="n"/>
      <c r="F86" s="47" t="n"/>
      <c r="G86" s="46" t="n"/>
      <c r="H86" s="46" t="n"/>
      <c r="I86" s="46" t="n"/>
      <c r="J86" s="49">
        <f>IF(B86="","",COUNTIF(C$12:C$111,C86))</f>
        <v/>
      </c>
    </row>
    <row r="87" ht="18" customHeight="1" s="34">
      <c r="A87" s="50">
        <f>IF(B87&lt;&gt;"",ROW()-11,"")</f>
        <v/>
      </c>
      <c r="B87" s="51" t="n"/>
      <c r="C87" s="51" t="n"/>
      <c r="D87" s="51" t="n"/>
      <c r="E87" s="52" t="n"/>
      <c r="F87" s="53" t="n"/>
      <c r="G87" s="52" t="n"/>
      <c r="H87" s="52" t="n"/>
      <c r="I87" s="52" t="n"/>
      <c r="J87" s="55">
        <f>IF(B87="","",COUNTIF(C$12:C$111,C87))</f>
        <v/>
      </c>
    </row>
    <row r="88" ht="18" customHeight="1" s="34">
      <c r="A88" s="44">
        <f>IF(B88&lt;&gt;"",ROW()-11,"")</f>
        <v/>
      </c>
      <c r="B88" s="45" t="n"/>
      <c r="C88" s="45" t="n"/>
      <c r="D88" s="45" t="n"/>
      <c r="E88" s="46" t="n"/>
      <c r="F88" s="47" t="n"/>
      <c r="G88" s="46" t="n"/>
      <c r="H88" s="46" t="n"/>
      <c r="I88" s="46" t="n"/>
      <c r="J88" s="49">
        <f>IF(B88="","",COUNTIF(C$12:C$111,C88))</f>
        <v/>
      </c>
    </row>
    <row r="89" ht="18" customHeight="1" s="34">
      <c r="A89" s="50">
        <f>IF(B89&lt;&gt;"",ROW()-11,"")</f>
        <v/>
      </c>
      <c r="B89" s="51" t="n"/>
      <c r="C89" s="51" t="n"/>
      <c r="D89" s="51" t="n"/>
      <c r="E89" s="52" t="n"/>
      <c r="F89" s="53" t="n"/>
      <c r="G89" s="52" t="n"/>
      <c r="H89" s="52" t="n"/>
      <c r="I89" s="52" t="n"/>
      <c r="J89" s="55">
        <f>IF(B89="","",COUNTIF(C$12:C$111,C89))</f>
        <v/>
      </c>
    </row>
    <row r="90" ht="18" customHeight="1" s="34">
      <c r="A90" s="44">
        <f>IF(B90&lt;&gt;"",ROW()-11,"")</f>
        <v/>
      </c>
      <c r="B90" s="45" t="n"/>
      <c r="C90" s="45" t="n"/>
      <c r="D90" s="45" t="n"/>
      <c r="E90" s="46" t="n"/>
      <c r="F90" s="47" t="n"/>
      <c r="G90" s="46" t="n"/>
      <c r="H90" s="46" t="n"/>
      <c r="I90" s="46" t="n"/>
      <c r="J90" s="49">
        <f>IF(B90="","",COUNTIF(C$12:C$111,C90))</f>
        <v/>
      </c>
    </row>
    <row r="91" ht="18" customHeight="1" s="34">
      <c r="A91" s="50">
        <f>IF(B91&lt;&gt;"",ROW()-11,"")</f>
        <v/>
      </c>
      <c r="B91" s="51" t="n"/>
      <c r="C91" s="51" t="n"/>
      <c r="D91" s="51" t="n"/>
      <c r="E91" s="52" t="n"/>
      <c r="F91" s="53" t="n"/>
      <c r="G91" s="52" t="n"/>
      <c r="H91" s="52" t="n"/>
      <c r="I91" s="52" t="n"/>
      <c r="J91" s="55">
        <f>IF(B91="","",COUNTIF(C$12:C$111,C91))</f>
        <v/>
      </c>
    </row>
    <row r="92" ht="18" customHeight="1" s="34">
      <c r="A92" s="44">
        <f>IF(B92&lt;&gt;"",ROW()-11,"")</f>
        <v/>
      </c>
      <c r="B92" s="45" t="n"/>
      <c r="C92" s="45" t="n"/>
      <c r="D92" s="45" t="n"/>
      <c r="E92" s="46" t="n"/>
      <c r="F92" s="47" t="n"/>
      <c r="G92" s="46" t="n"/>
      <c r="H92" s="46" t="n"/>
      <c r="I92" s="46" t="n"/>
      <c r="J92" s="49">
        <f>IF(B92="","",COUNTIF(C$12:C$111,C92))</f>
        <v/>
      </c>
    </row>
    <row r="93" ht="18" customHeight="1" s="34">
      <c r="A93" s="50">
        <f>IF(B93&lt;&gt;"",ROW()-11,"")</f>
        <v/>
      </c>
      <c r="B93" s="51" t="n"/>
      <c r="C93" s="51" t="n"/>
      <c r="D93" s="51" t="n"/>
      <c r="E93" s="52" t="n"/>
      <c r="F93" s="53" t="n"/>
      <c r="G93" s="52" t="n"/>
      <c r="H93" s="52" t="n"/>
      <c r="I93" s="52" t="n"/>
      <c r="J93" s="55">
        <f>IF(B93="","",COUNTIF(C$12:C$111,C93))</f>
        <v/>
      </c>
    </row>
    <row r="94" ht="18" customHeight="1" s="34">
      <c r="A94" s="44">
        <f>IF(B94&lt;&gt;"",ROW()-11,"")</f>
        <v/>
      </c>
      <c r="B94" s="45" t="n"/>
      <c r="C94" s="45" t="n"/>
      <c r="D94" s="45" t="n"/>
      <c r="E94" s="46" t="n"/>
      <c r="F94" s="47" t="n"/>
      <c r="G94" s="46" t="n"/>
      <c r="H94" s="46" t="n"/>
      <c r="I94" s="46" t="n"/>
      <c r="J94" s="49">
        <f>IF(B94="","",COUNTIF(C$12:C$111,C94))</f>
        <v/>
      </c>
    </row>
    <row r="95" ht="18" customHeight="1" s="34">
      <c r="A95" s="50">
        <f>IF(B95&lt;&gt;"",ROW()-11,"")</f>
        <v/>
      </c>
      <c r="B95" s="51" t="n"/>
      <c r="C95" s="51" t="n"/>
      <c r="D95" s="51" t="n"/>
      <c r="E95" s="52" t="n"/>
      <c r="F95" s="53" t="n"/>
      <c r="G95" s="52" t="n"/>
      <c r="H95" s="52" t="n"/>
      <c r="I95" s="52" t="n"/>
      <c r="J95" s="55">
        <f>IF(B95="","",COUNTIF(C$12:C$111,C95))</f>
        <v/>
      </c>
    </row>
    <row r="96" ht="18" customHeight="1" s="34">
      <c r="A96" s="44">
        <f>IF(B96&lt;&gt;"",ROW()-11,"")</f>
        <v/>
      </c>
      <c r="B96" s="45" t="n"/>
      <c r="C96" s="45" t="n"/>
      <c r="D96" s="45" t="n"/>
      <c r="E96" s="46" t="n"/>
      <c r="F96" s="47" t="n"/>
      <c r="G96" s="46" t="n"/>
      <c r="H96" s="46" t="n"/>
      <c r="I96" s="46" t="n"/>
      <c r="J96" s="49">
        <f>IF(B96="","",COUNTIF(C$12:C$111,C96))</f>
        <v/>
      </c>
    </row>
    <row r="97" ht="18" customHeight="1" s="34">
      <c r="A97" s="50">
        <f>IF(B97&lt;&gt;"",ROW()-11,"")</f>
        <v/>
      </c>
      <c r="B97" s="51" t="n"/>
      <c r="C97" s="51" t="n"/>
      <c r="D97" s="51" t="n"/>
      <c r="E97" s="52" t="n"/>
      <c r="F97" s="53" t="n"/>
      <c r="G97" s="52" t="n"/>
      <c r="H97" s="52" t="n"/>
      <c r="I97" s="52" t="n"/>
      <c r="J97" s="55">
        <f>IF(B97="","",COUNTIF(C$12:C$111,C97))</f>
        <v/>
      </c>
    </row>
    <row r="98" ht="18" customHeight="1" s="34">
      <c r="A98" s="44">
        <f>IF(B98&lt;&gt;"",ROW()-11,"")</f>
        <v/>
      </c>
      <c r="B98" s="45" t="n"/>
      <c r="C98" s="45" t="n"/>
      <c r="D98" s="45" t="n"/>
      <c r="E98" s="46" t="n"/>
      <c r="F98" s="47" t="n"/>
      <c r="G98" s="46" t="n"/>
      <c r="H98" s="46" t="n"/>
      <c r="I98" s="46" t="n"/>
      <c r="J98" s="49">
        <f>IF(B98="","",COUNTIF(C$12:C$111,C98))</f>
        <v/>
      </c>
    </row>
    <row r="99" ht="18" customHeight="1" s="34">
      <c r="A99" s="50">
        <f>IF(B99&lt;&gt;"",ROW()-11,"")</f>
        <v/>
      </c>
      <c r="B99" s="51" t="n"/>
      <c r="C99" s="51" t="n"/>
      <c r="D99" s="51" t="n"/>
      <c r="E99" s="52" t="n"/>
      <c r="F99" s="53" t="n"/>
      <c r="G99" s="52" t="n"/>
      <c r="H99" s="52" t="n"/>
      <c r="I99" s="52" t="n"/>
      <c r="J99" s="55">
        <f>IF(B99="","",COUNTIF(C$12:C$111,C99))</f>
        <v/>
      </c>
    </row>
    <row r="100" ht="18" customHeight="1" s="34">
      <c r="A100" s="44">
        <f>IF(B100&lt;&gt;"",ROW()-11,"")</f>
        <v/>
      </c>
      <c r="B100" s="45" t="n"/>
      <c r="C100" s="45" t="n"/>
      <c r="D100" s="45" t="n"/>
      <c r="E100" s="46" t="n"/>
      <c r="F100" s="47" t="n"/>
      <c r="G100" s="46" t="n"/>
      <c r="H100" s="46" t="n"/>
      <c r="I100" s="46" t="n"/>
      <c r="J100" s="49">
        <f>IF(B100="","",COUNTIF(C$12:C$111,C100))</f>
        <v/>
      </c>
    </row>
    <row r="101" ht="18" customHeight="1" s="34">
      <c r="A101" s="50">
        <f>IF(B101&lt;&gt;"",ROW()-11,"")</f>
        <v/>
      </c>
      <c r="B101" s="51" t="n"/>
      <c r="C101" s="51" t="n"/>
      <c r="D101" s="51" t="n"/>
      <c r="E101" s="52" t="n"/>
      <c r="F101" s="53" t="n"/>
      <c r="G101" s="52" t="n"/>
      <c r="H101" s="52" t="n"/>
      <c r="I101" s="52" t="n"/>
      <c r="J101" s="55">
        <f>IF(B101="","",COUNTIF(C$12:C$111,C101))</f>
        <v/>
      </c>
    </row>
    <row r="102" ht="18" customHeight="1" s="34">
      <c r="A102" s="44">
        <f>IF(B102&lt;&gt;"",ROW()-11,"")</f>
        <v/>
      </c>
      <c r="B102" s="45" t="n"/>
      <c r="C102" s="45" t="n"/>
      <c r="D102" s="45" t="n"/>
      <c r="E102" s="46" t="n"/>
      <c r="F102" s="47" t="n"/>
      <c r="G102" s="46" t="n"/>
      <c r="H102" s="46" t="n"/>
      <c r="I102" s="46" t="n"/>
      <c r="J102" s="49">
        <f>IF(B102="","",COUNTIF(C$12:C$111,C102))</f>
        <v/>
      </c>
    </row>
    <row r="103" ht="18" customHeight="1" s="34">
      <c r="A103" s="50">
        <f>IF(B103&lt;&gt;"",ROW()-11,"")</f>
        <v/>
      </c>
      <c r="B103" s="51" t="n"/>
      <c r="C103" s="51" t="n"/>
      <c r="D103" s="51" t="n"/>
      <c r="E103" s="52" t="n"/>
      <c r="F103" s="53" t="n"/>
      <c r="G103" s="52" t="n"/>
      <c r="H103" s="52" t="n"/>
      <c r="I103" s="52" t="n"/>
      <c r="J103" s="55">
        <f>IF(B103="","",COUNTIF(C$12:C$111,C103))</f>
        <v/>
      </c>
    </row>
    <row r="104" ht="18" customHeight="1" s="34">
      <c r="A104" s="44">
        <f>IF(B104&lt;&gt;"",ROW()-11,"")</f>
        <v/>
      </c>
      <c r="B104" s="45" t="n"/>
      <c r="C104" s="45" t="n"/>
      <c r="D104" s="45" t="n"/>
      <c r="E104" s="46" t="n"/>
      <c r="F104" s="47" t="n"/>
      <c r="G104" s="46" t="n"/>
      <c r="H104" s="46" t="n"/>
      <c r="I104" s="46" t="n"/>
      <c r="J104" s="49">
        <f>IF(B104="","",COUNTIF(C$12:C$111,C104))</f>
        <v/>
      </c>
    </row>
    <row r="105" ht="18" customHeight="1" s="34">
      <c r="A105" s="50">
        <f>IF(B105&lt;&gt;"",ROW()-11,"")</f>
        <v/>
      </c>
      <c r="B105" s="51" t="n"/>
      <c r="C105" s="51" t="n"/>
      <c r="D105" s="51" t="n"/>
      <c r="E105" s="52" t="n"/>
      <c r="F105" s="53" t="n"/>
      <c r="G105" s="52" t="n"/>
      <c r="H105" s="52" t="n"/>
      <c r="I105" s="52" t="n"/>
      <c r="J105" s="55">
        <f>IF(B105="","",COUNTIF(C$12:C$111,C105))</f>
        <v/>
      </c>
    </row>
    <row r="106" ht="18" customHeight="1" s="34">
      <c r="A106" s="44">
        <f>IF(B106&lt;&gt;"",ROW()-11,"")</f>
        <v/>
      </c>
      <c r="B106" s="45" t="n"/>
      <c r="C106" s="45" t="n"/>
      <c r="D106" s="45" t="n"/>
      <c r="E106" s="46" t="n"/>
      <c r="F106" s="47" t="n"/>
      <c r="G106" s="46" t="n"/>
      <c r="H106" s="46" t="n"/>
      <c r="I106" s="46" t="n"/>
      <c r="J106" s="49">
        <f>IF(B106="","",COUNTIF(C$12:C$111,C106))</f>
        <v/>
      </c>
    </row>
    <row r="107" ht="18" customHeight="1" s="34">
      <c r="A107" s="50">
        <f>IF(B107&lt;&gt;"",ROW()-11,"")</f>
        <v/>
      </c>
      <c r="B107" s="51" t="n"/>
      <c r="C107" s="51" t="n"/>
      <c r="D107" s="51" t="n"/>
      <c r="E107" s="52" t="n"/>
      <c r="F107" s="53" t="n"/>
      <c r="G107" s="52" t="n"/>
      <c r="H107" s="52" t="n"/>
      <c r="I107" s="52" t="n"/>
      <c r="J107" s="55">
        <f>IF(B107="","",COUNTIF(C$12:C$111,C107))</f>
        <v/>
      </c>
    </row>
    <row r="108" ht="18" customHeight="1" s="34">
      <c r="A108" s="44">
        <f>IF(B108&lt;&gt;"",ROW()-11,"")</f>
        <v/>
      </c>
      <c r="B108" s="45" t="n"/>
      <c r="C108" s="45" t="n"/>
      <c r="D108" s="45" t="n"/>
      <c r="E108" s="46" t="n"/>
      <c r="F108" s="47" t="n"/>
      <c r="G108" s="46" t="n"/>
      <c r="H108" s="46" t="n"/>
      <c r="I108" s="46" t="n"/>
      <c r="J108" s="49">
        <f>IF(B108="","",COUNTIF(C$12:C$111,C108))</f>
        <v/>
      </c>
    </row>
    <row r="109" ht="18" customHeight="1" s="34">
      <c r="A109" s="50">
        <f>IF(B109&lt;&gt;"",ROW()-11,"")</f>
        <v/>
      </c>
      <c r="B109" s="51" t="n"/>
      <c r="C109" s="51" t="n"/>
      <c r="D109" s="51" t="n"/>
      <c r="E109" s="52" t="n"/>
      <c r="F109" s="53" t="n"/>
      <c r="G109" s="52" t="n"/>
      <c r="H109" s="52" t="n"/>
      <c r="I109" s="52" t="n"/>
      <c r="J109" s="55">
        <f>IF(B109="","",COUNTIF(C$12:C$111,C109))</f>
        <v/>
      </c>
    </row>
    <row r="110" ht="18" customHeight="1" s="34">
      <c r="A110" s="44">
        <f>IF(B110&lt;&gt;"",ROW()-11,"")</f>
        <v/>
      </c>
      <c r="B110" s="45" t="n"/>
      <c r="C110" s="45" t="n"/>
      <c r="D110" s="45" t="n"/>
      <c r="E110" s="46" t="n"/>
      <c r="F110" s="47" t="n"/>
      <c r="G110" s="46" t="n"/>
      <c r="H110" s="46" t="n"/>
      <c r="I110" s="46" t="n"/>
      <c r="J110" s="49">
        <f>IF(B110="","",COUNTIF(C$12:C$111,C110))</f>
        <v/>
      </c>
    </row>
    <row r="111" ht="18" customHeight="1" s="34">
      <c r="A111" s="50">
        <f>IF(B111&lt;&gt;"",ROW()-11,"")</f>
        <v/>
      </c>
      <c r="B111" s="51" t="n"/>
      <c r="C111" s="51" t="n"/>
      <c r="D111" s="51" t="n"/>
      <c r="E111" s="52" t="n"/>
      <c r="F111" s="53" t="n"/>
      <c r="G111" s="52" t="n"/>
      <c r="H111" s="52" t="n"/>
      <c r="I111" s="52" t="n"/>
      <c r="J111" s="55">
        <f>IF(B111="","",COUNTIF(C$12:C$111,C111))</f>
        <v/>
      </c>
    </row>
  </sheetData>
  <mergeCells count="13">
    <mergeCell ref="A4:B4"/>
    <mergeCell ref="G4:H4"/>
    <mergeCell ref="A1:J1"/>
    <mergeCell ref="E4:F4"/>
    <mergeCell ref="I4:J4"/>
    <mergeCell ref="C5:D6"/>
    <mergeCell ref="A5:B6"/>
    <mergeCell ref="G5:H6"/>
    <mergeCell ref="E5:F6"/>
    <mergeCell ref="I5:J6"/>
    <mergeCell ref="A2:J2"/>
    <mergeCell ref="A9:E9"/>
    <mergeCell ref="C4:D4"/>
  </mergeCells>
  <conditionalFormatting sqref="H12:H111">
    <cfRule type="cellIs" rank="0" priority="2" equalAverage="0" operator="equal" aboveAverage="0" dxfId="0" text="" percent="0" bottom="0">
      <formula>"High"</formula>
    </cfRule>
    <cfRule type="cellIs" rank="0" priority="3" equalAverage="0" operator="equal" aboveAverage="0" dxfId="1" text="" percent="0" bottom="0">
      <formula>"Medium"</formula>
    </cfRule>
    <cfRule type="cellIs" rank="0" priority="4" equalAverage="0" operator="equal" aboveAverage="0" dxfId="2" text="" percent="0" bottom="0">
      <formula>"Low"</formula>
    </cfRule>
  </conditionalFormatting>
  <conditionalFormatting sqref="G12:G111">
    <cfRule type="colorScale" priority="5">
      <colorScale>
        <cfvo type="min" val="0"/>
        <cfvo type="max" val="0"/>
        <color rgb="FF16A34A"/>
        <color rgb="FFDC2626"/>
      </colorScale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3" min="1" max="1"/>
    <col width="18" customWidth="1" style="33" min="2" max="3"/>
    <col width="16" customWidth="1" style="33" min="4" max="5"/>
    <col width="14" customWidth="1" style="33" min="6" max="6"/>
  </cols>
  <sheetData>
    <row r="1" ht="33.75" customHeight="1" s="34">
      <c r="A1" s="35" t="inlineStr">
        <is>
          <t>STAGE SUMMARY — COUNTIF / SUMIF</t>
        </is>
      </c>
    </row>
    <row r="2" ht="18" customHeight="1" s="34">
      <c r="A2" s="36" t="inlineStr">
        <is>
          <t>Auto-updates when you add data to Pipeline Tracker tab</t>
        </is>
      </c>
    </row>
    <row r="3" ht="7.5" customHeight="1" s="34"/>
    <row r="4" ht="24" customHeight="1" s="34">
      <c r="A4" s="57" t="inlineStr">
        <is>
          <t>Pipeline Stage</t>
        </is>
      </c>
      <c r="B4" s="57" t="inlineStr">
        <is>
          <t>Count (COUNTIF)</t>
        </is>
      </c>
      <c r="C4" s="57" t="inlineStr">
        <is>
          <t>Total Value (SUMIF)</t>
        </is>
      </c>
      <c r="D4" s="57" t="inlineStr">
        <is>
          <t>Avg Deal Size</t>
        </is>
      </c>
      <c r="E4" s="57" t="inlineStr">
        <is>
          <t>% of Pipeline</t>
        </is>
      </c>
      <c r="F4" s="57" t="inlineStr">
        <is>
          <t>Conv. Rate</t>
        </is>
      </c>
    </row>
    <row r="5" ht="19.5" customHeight="1" s="34">
      <c r="A5" s="58" t="inlineStr">
        <is>
          <t>Prospecting</t>
        </is>
      </c>
      <c r="B5" s="49">
        <f>COUNTIF('Pipeline Tracker'!D$12:D$111,A5)</f>
        <v/>
      </c>
      <c r="C5" s="59">
        <f>SUMIF('Pipeline Tracker'!D$12:D$111,A5,'Pipeline Tracker'!F$12:F$111)</f>
        <v/>
      </c>
      <c r="D5" s="59">
        <f>IFERROR(C5/B5,0)</f>
        <v/>
      </c>
      <c r="E5" s="60">
        <f>IFERROR(C5/SUM(C$5:C$11),0)</f>
        <v/>
      </c>
      <c r="F5" s="49" t="inlineStr">
        <is>
          <t>18%</t>
        </is>
      </c>
    </row>
    <row r="6" ht="19.5" customHeight="1" s="34">
      <c r="A6" s="61" t="inlineStr">
        <is>
          <t>Qualification</t>
        </is>
      </c>
      <c r="B6" s="55">
        <f>COUNTIF('Pipeline Tracker'!D$12:D$111,A6)</f>
        <v/>
      </c>
      <c r="C6" s="62">
        <f>SUMIF('Pipeline Tracker'!D$12:D$111,A6,'Pipeline Tracker'!F$12:F$111)</f>
        <v/>
      </c>
      <c r="D6" s="62">
        <f>IFERROR(C6/B6,0)</f>
        <v/>
      </c>
      <c r="E6" s="63">
        <f>IFERROR(C6/SUM(C$5:C$11),0)</f>
        <v/>
      </c>
      <c r="F6" s="55" t="inlineStr">
        <is>
          <t>42%</t>
        </is>
      </c>
    </row>
    <row r="7" ht="19.5" customHeight="1" s="34">
      <c r="A7" s="58" t="inlineStr">
        <is>
          <t>Demo Scheduled</t>
        </is>
      </c>
      <c r="B7" s="49">
        <f>COUNTIF('Pipeline Tracker'!D$12:D$111,A7)</f>
        <v/>
      </c>
      <c r="C7" s="59">
        <f>SUMIF('Pipeline Tracker'!D$12:D$111,A7,'Pipeline Tracker'!F$12:F$111)</f>
        <v/>
      </c>
      <c r="D7" s="59">
        <f>IFERROR(C7/B7,0)</f>
        <v/>
      </c>
      <c r="E7" s="60">
        <f>IFERROR(C7/SUM(C$5:C$11),0)</f>
        <v/>
      </c>
      <c r="F7" s="49" t="inlineStr">
        <is>
          <t>61%</t>
        </is>
      </c>
    </row>
    <row r="8" ht="19.5" customHeight="1" s="34">
      <c r="A8" s="61" t="inlineStr">
        <is>
          <t>Proposal Sent</t>
        </is>
      </c>
      <c r="B8" s="55">
        <f>COUNTIF('Pipeline Tracker'!D$12:D$111,A8)</f>
        <v/>
      </c>
      <c r="C8" s="62">
        <f>SUMIF('Pipeline Tracker'!D$12:D$111,A8,'Pipeline Tracker'!F$12:F$111)</f>
        <v/>
      </c>
      <c r="D8" s="62">
        <f>IFERROR(C8/B8,0)</f>
        <v/>
      </c>
      <c r="E8" s="63">
        <f>IFERROR(C8/SUM(C$5:C$11),0)</f>
        <v/>
      </c>
      <c r="F8" s="55" t="inlineStr">
        <is>
          <t>74%</t>
        </is>
      </c>
    </row>
    <row r="9" ht="19.5" customHeight="1" s="34">
      <c r="A9" s="58" t="inlineStr">
        <is>
          <t>Negotiation</t>
        </is>
      </c>
      <c r="B9" s="49">
        <f>COUNTIF('Pipeline Tracker'!D$12:D$111,A9)</f>
        <v/>
      </c>
      <c r="C9" s="59">
        <f>SUMIF('Pipeline Tracker'!D$12:D$111,A9,'Pipeline Tracker'!F$12:F$111)</f>
        <v/>
      </c>
      <c r="D9" s="59">
        <f>IFERROR(C9/B9,0)</f>
        <v/>
      </c>
      <c r="E9" s="60">
        <f>IFERROR(C9/SUM(C$5:C$11),0)</f>
        <v/>
      </c>
      <c r="F9" s="49" t="inlineStr">
        <is>
          <t>88%</t>
        </is>
      </c>
    </row>
    <row r="10" ht="19.5" customHeight="1" s="34">
      <c r="A10" s="61" t="inlineStr">
        <is>
          <t>Closed-Won</t>
        </is>
      </c>
      <c r="B10" s="55">
        <f>COUNTIF('Pipeline Tracker'!D$12:D$111,A10)</f>
        <v/>
      </c>
      <c r="C10" s="62">
        <f>SUMIF('Pipeline Tracker'!D$12:D$111,A10,'Pipeline Tracker'!F$12:F$111)</f>
        <v/>
      </c>
      <c r="D10" s="62">
        <f>IFERROR(C10/B10,0)</f>
        <v/>
      </c>
      <c r="E10" s="63">
        <f>IFERROR(C10/SUM(C$5:C$11),0)</f>
        <v/>
      </c>
      <c r="F10" s="55" t="inlineStr">
        <is>
          <t>100%</t>
        </is>
      </c>
    </row>
    <row r="11" ht="19.5" customHeight="1" s="34">
      <c r="A11" s="58" t="inlineStr">
        <is>
          <t>Closed-Lost</t>
        </is>
      </c>
      <c r="B11" s="49">
        <f>COUNTIF('Pipeline Tracker'!D$12:D$111,A11)</f>
        <v/>
      </c>
      <c r="C11" s="59">
        <f>SUMIF('Pipeline Tracker'!D$12:D$111,A11,'Pipeline Tracker'!F$12:F$111)</f>
        <v/>
      </c>
      <c r="D11" s="59">
        <f>IFERROR(C11/B11,0)</f>
        <v/>
      </c>
      <c r="E11" s="60">
        <f>IFERROR(C11/SUM(C$5:C$11),0)</f>
        <v/>
      </c>
      <c r="F11" s="49" t="inlineStr">
        <is>
          <t>0%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33" min="1" max="1"/>
    <col width="22" customWidth="1" style="33" min="2" max="2"/>
    <col width="24" customWidth="1" style="33" min="3" max="3"/>
    <col width="12" customWidth="1" style="33" min="4" max="4"/>
    <col width="14" customWidth="1" style="33" min="5" max="5"/>
  </cols>
  <sheetData>
    <row r="1" ht="33.75" customHeight="1" s="34">
      <c r="A1" s="35" t="inlineStr">
        <is>
          <t>REP LEADERBOARD — SUMIF / RANK</t>
        </is>
      </c>
    </row>
    <row r="2" ht="18" customHeight="1" s="34">
      <c r="A2" s="36" t="inlineStr">
        <is>
          <t>Auto-updates from Pipeline Tracker tab</t>
        </is>
      </c>
    </row>
    <row r="3" ht="7.5" customHeight="1" s="34"/>
    <row r="4" ht="27.75" customHeight="1" s="34">
      <c r="A4" s="64" t="inlineStr">
        <is>
          <t>Rep Name</t>
        </is>
      </c>
      <c r="B4" s="64" t="inlineStr">
        <is>
          <t>Total Deals (COUNTIF)</t>
        </is>
      </c>
      <c r="C4" s="64" t="inlineStr">
        <is>
          <t>Closed-Won Value (SUMIF)</t>
        </is>
      </c>
      <c r="D4" s="64" t="inlineStr">
        <is>
          <t>Win Rate</t>
        </is>
      </c>
      <c r="E4" s="64" t="inlineStr">
        <is>
          <t>Rank (RANK)</t>
        </is>
      </c>
    </row>
    <row r="5" ht="19.5" customHeight="1" s="34">
      <c r="A5" s="58" t="inlineStr">
        <is>
          <t>Alexis Chen</t>
        </is>
      </c>
      <c r="B5" s="49">
        <f>COUNTIF('Pipeline Tracker'!C$12:C$111,A5)</f>
        <v/>
      </c>
      <c r="C5" s="59">
        <f>SUMIFS('Pipeline Tracker'!F$12:F$111,'Pipeline Tracker'!C$12:C$111,A5,'Pipeline Tracker'!D$12:D$111,"Closed-Won")</f>
        <v/>
      </c>
      <c r="D5" s="65">
        <f>IFERROR(C5/SUMIF('Pipeline Tracker'!C$12:C$111,A5,'Pipeline Tracker'!F$12:F$111),0)</f>
        <v/>
      </c>
      <c r="E5" s="49">
        <f>IFERROR(RANK(C5,C$5:C$12,0),"")</f>
        <v/>
      </c>
    </row>
    <row r="6" ht="19.5" customHeight="1" s="34">
      <c r="A6" s="61" t="inlineStr">
        <is>
          <t>Devon Ross</t>
        </is>
      </c>
      <c r="B6" s="55">
        <f>COUNTIF('Pipeline Tracker'!C$12:C$111,A6)</f>
        <v/>
      </c>
      <c r="C6" s="62">
        <f>SUMIFS('Pipeline Tracker'!F$12:F$111,'Pipeline Tracker'!C$12:C$111,A6,'Pipeline Tracker'!D$12:D$111,"Closed-Won")</f>
        <v/>
      </c>
      <c r="D6" s="66">
        <f>IFERROR(C6/SUMIF('Pipeline Tracker'!C$12:C$111,A6,'Pipeline Tracker'!F$12:F$111),0)</f>
        <v/>
      </c>
      <c r="E6" s="55">
        <f>IFERROR(RANK(C6,C$5:C$12,0),"")</f>
        <v/>
      </c>
    </row>
    <row r="7" ht="19.5" customHeight="1" s="34">
      <c r="A7" s="58" t="inlineStr">
        <is>
          <t>Jordan Kim</t>
        </is>
      </c>
      <c r="B7" s="49">
        <f>COUNTIF('Pipeline Tracker'!C$12:C$111,A7)</f>
        <v/>
      </c>
      <c r="C7" s="59">
        <f>SUMIFS('Pipeline Tracker'!F$12:F$111,'Pipeline Tracker'!C$12:C$111,A7,'Pipeline Tracker'!D$12:D$111,"Closed-Won")</f>
        <v/>
      </c>
      <c r="D7" s="65">
        <f>IFERROR(C7/SUMIF('Pipeline Tracker'!C$12:C$111,A7,'Pipeline Tracker'!F$12:F$111),0)</f>
        <v/>
      </c>
      <c r="E7" s="49">
        <f>IFERROR(RANK(C7,C$5:C$12,0),"")</f>
        <v/>
      </c>
    </row>
    <row r="8" ht="19.5" customHeight="1" s="34">
      <c r="A8" s="61" t="inlineStr">
        <is>
          <t>Marcus Webb</t>
        </is>
      </c>
      <c r="B8" s="55">
        <f>COUNTIF('Pipeline Tracker'!C$12:C$111,A8)</f>
        <v/>
      </c>
      <c r="C8" s="62">
        <f>SUMIFS('Pipeline Tracker'!F$12:F$111,'Pipeline Tracker'!C$12:C$111,A8,'Pipeline Tracker'!D$12:D$111,"Closed-Won")</f>
        <v/>
      </c>
      <c r="D8" s="66">
        <f>IFERROR(C8/SUMIF('Pipeline Tracker'!C$12:C$111,A8,'Pipeline Tracker'!F$12:F$111),0)</f>
        <v/>
      </c>
      <c r="E8" s="55">
        <f>IFERROR(RANK(C8,C$5:C$12,0),"")</f>
        <v/>
      </c>
    </row>
    <row r="9" ht="19.5" customHeight="1" s="34">
      <c r="A9" s="58" t="inlineStr">
        <is>
          <t>Nadia Okonkwo</t>
        </is>
      </c>
      <c r="B9" s="49">
        <f>COUNTIF('Pipeline Tracker'!C$12:C$111,A9)</f>
        <v/>
      </c>
      <c r="C9" s="59">
        <f>SUMIFS('Pipeline Tracker'!F$12:F$111,'Pipeline Tracker'!C$12:C$111,A9,'Pipeline Tracker'!D$12:D$111,"Closed-Won")</f>
        <v/>
      </c>
      <c r="D9" s="65">
        <f>IFERROR(C9/SUMIF('Pipeline Tracker'!C$12:C$111,A9,'Pipeline Tracker'!F$12:F$111),0)</f>
        <v/>
      </c>
      <c r="E9" s="49">
        <f>IFERROR(RANK(C9,C$5:C$12,0),"")</f>
        <v/>
      </c>
    </row>
    <row r="10" ht="19.5" customHeight="1" s="34">
      <c r="A10" s="61" t="inlineStr">
        <is>
          <t>Priya Patel</t>
        </is>
      </c>
      <c r="B10" s="55">
        <f>COUNTIF('Pipeline Tracker'!C$12:C$111,A10)</f>
        <v/>
      </c>
      <c r="C10" s="62">
        <f>SUMIFS('Pipeline Tracker'!F$12:F$111,'Pipeline Tracker'!C$12:C$111,A10,'Pipeline Tracker'!D$12:D$111,"Closed-Won")</f>
        <v/>
      </c>
      <c r="D10" s="66">
        <f>IFERROR(C10/SUMIF('Pipeline Tracker'!C$12:C$111,A10,'Pipeline Tracker'!F$12:F$111),0)</f>
        <v/>
      </c>
      <c r="E10" s="55">
        <f>IFERROR(RANK(C10,C$5:C$12,0),"")</f>
        <v/>
      </c>
    </row>
    <row r="11" ht="19.5" customHeight="1" s="34">
      <c r="A11" s="58" t="inlineStr">
        <is>
          <t>Samantha Lee</t>
        </is>
      </c>
      <c r="B11" s="49">
        <f>COUNTIF('Pipeline Tracker'!C$12:C$111,A11)</f>
        <v/>
      </c>
      <c r="C11" s="59">
        <f>SUMIFS('Pipeline Tracker'!F$12:F$111,'Pipeline Tracker'!C$12:C$111,A11,'Pipeline Tracker'!D$12:D$111,"Closed-Won")</f>
        <v/>
      </c>
      <c r="D11" s="65">
        <f>IFERROR(C11/SUMIF('Pipeline Tracker'!C$12:C$111,A11,'Pipeline Tracker'!F$12:F$111),0)</f>
        <v/>
      </c>
      <c r="E11" s="49">
        <f>IFERROR(RANK(C11,C$5:C$12,0),"")</f>
        <v/>
      </c>
    </row>
    <row r="12" ht="19.5" customHeight="1" s="34">
      <c r="A12" s="61" t="inlineStr">
        <is>
          <t>Tyler Brooks</t>
        </is>
      </c>
      <c r="B12" s="55">
        <f>COUNTIF('Pipeline Tracker'!C$12:C$111,A12)</f>
        <v/>
      </c>
      <c r="C12" s="62">
        <f>SUMIFS('Pipeline Tracker'!F$12:F$111,'Pipeline Tracker'!C$12:C$111,A12,'Pipeline Tracker'!D$12:D$111,"Closed-Won")</f>
        <v/>
      </c>
      <c r="D12" s="66">
        <f>IFERROR(C12/SUMIF('Pipeline Tracker'!C$12:C$111,A12,'Pipeline Tracker'!F$12:F$111),0)</f>
        <v/>
      </c>
      <c r="E12" s="55">
        <f>IFERROR(RANK(C12,C$5:C$12,0),"")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2026-04-02T13:37:48Z</dcterms:created>
  <dcterms:modified xmlns:dcterms="http://purl.org/dc/terms/" xmlns:xsi="http://www.w3.org/2001/XMLSchema-instance" xsi:type="dcterms:W3CDTF">2026-04-02T13:44:40Z</dcterms:modified>
  <cp:revision>0</cp:revision>
</cp:coreProperties>
</file>
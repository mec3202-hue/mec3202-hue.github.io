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Campaign ROI" sheetId="2" state="visible" r:id="rId2"/>
    <sheet xmlns:r="http://schemas.openxmlformats.org/officeDocument/2006/relationships" name="Benchmarks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\$#,##0"/>
    <numFmt numFmtId="165" formatCode="0.00\x"/>
  </numFmts>
  <fonts count="1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rgb="FF0F3460"/>
      <sz val="10"/>
    </font>
    <font>
      <name val="Arial"/>
      <charset val="1"/>
      <family val="0"/>
      <color rgb="FF111111"/>
      <sz val="10"/>
    </font>
    <font>
      <name val="Arial"/>
      <charset val="1"/>
      <family val="0"/>
      <b val="1"/>
      <color rgb="FFFFFFFF"/>
      <sz val="15"/>
    </font>
    <font>
      <name val="Arial"/>
      <charset val="1"/>
      <family val="0"/>
      <color rgb="FF888899"/>
      <sz val="9"/>
    </font>
    <font>
      <name val="Arial"/>
      <charset val="1"/>
      <family val="0"/>
      <color rgb="FF888899"/>
      <sz val="8"/>
    </font>
    <font>
      <name val="Arial"/>
      <charset val="1"/>
      <family val="0"/>
      <b val="1"/>
      <color rgb="FF5CB8FF"/>
      <sz val="20"/>
    </font>
    <font>
      <name val="Arial"/>
      <charset val="1"/>
      <family val="0"/>
      <b val="1"/>
      <color rgb="FF00C48C"/>
      <sz val="20"/>
    </font>
    <font>
      <name val="Arial"/>
      <charset val="1"/>
      <family val="0"/>
      <b val="1"/>
      <color rgb="FFFFB547"/>
      <sz val="20"/>
    </font>
    <font>
      <name val="Arial"/>
      <charset val="1"/>
      <family val="0"/>
      <b val="1"/>
      <color rgb="FFA78BFA"/>
      <sz val="20"/>
    </font>
    <font>
      <name val="Arial"/>
      <charset val="1"/>
      <family val="0"/>
      <i val="1"/>
      <color rgb="FF2563EB"/>
      <sz val="8"/>
    </font>
    <font>
      <name val="Arial"/>
      <charset val="1"/>
      <family val="0"/>
      <b val="1"/>
      <color rgb="FFFFFFFF"/>
      <sz val="9"/>
    </font>
    <font>
      <name val="Arial"/>
      <charset val="1"/>
      <family val="0"/>
      <color rgb="FF888888"/>
      <sz val="10"/>
    </font>
    <font>
      <name val="Arial"/>
      <charset val="1"/>
      <family val="0"/>
      <color rgb="FF0000FF"/>
      <sz val="10"/>
    </font>
  </fonts>
  <fills count="7">
    <fill>
      <patternFill/>
    </fill>
    <fill>
      <patternFill patternType="gray125"/>
    </fill>
    <fill>
      <patternFill patternType="solid">
        <fgColor rgb="FF0F3460"/>
        <bgColor rgb="FF16213E"/>
      </patternFill>
    </fill>
    <fill>
      <patternFill patternType="solid">
        <fgColor rgb="FF1A1A2E"/>
        <bgColor rgb="FF16213E"/>
      </patternFill>
    </fill>
    <fill>
      <patternFill patternType="solid">
        <fgColor rgb="FF16213E"/>
        <bgColor rgb="FF1A1A2E"/>
      </patternFill>
    </fill>
    <fill>
      <patternFill patternType="solid">
        <fgColor rgb="FFF7F7F5"/>
        <bgColor rgb="FFFFFFFF"/>
      </patternFill>
    </fill>
    <fill>
      <patternFill patternType="solid">
        <fgColor rgb="FFFFFFFF"/>
        <bgColor rgb="FFF7F7F5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333333"/>
      </bottom>
      <diagonal/>
    </border>
    <border>
      <left/>
      <right/>
      <top/>
      <bottom style="thin">
        <color rgb="FFDDDDDD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3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 vertical="center"/>
    </xf>
    <xf numFmtId="164" fontId="10" fillId="4" borderId="0" applyAlignment="1" pivotButton="0" quotePrefix="0" xfId="0">
      <alignment horizontal="center" vertical="center"/>
    </xf>
    <xf numFmtId="164" fontId="11" fillId="4" borderId="0" applyAlignment="1" pivotButton="0" quotePrefix="0" xfId="0">
      <alignment horizontal="center" vertical="center"/>
    </xf>
    <xf numFmtId="165" fontId="12" fillId="4" borderId="0" applyAlignment="1" pivotButton="0" quotePrefix="0" xfId="0">
      <alignment horizontal="center" vertical="center"/>
    </xf>
    <xf numFmtId="3" fontId="13" fillId="4" borderId="0" applyAlignment="1" pivotButton="0" quotePrefix="0" xfId="0">
      <alignment horizontal="center" vertical="center"/>
    </xf>
    <xf numFmtId="9" fontId="11" fillId="4" borderId="0" applyAlignment="1" pivotButton="0" quotePrefix="0" xfId="0">
      <alignment horizontal="center" vertical="center"/>
    </xf>
    <xf numFmtId="1" fontId="12" fillId="4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15" fillId="2" borderId="1" applyAlignment="1" pivotButton="0" quotePrefix="0" xfId="0">
      <alignment horizontal="center" vertical="center" wrapText="1"/>
    </xf>
    <xf numFmtId="0" fontId="16" fillId="5" borderId="0" applyAlignment="1" pivotButton="0" quotePrefix="0" xfId="0">
      <alignment horizontal="center" vertical="center"/>
    </xf>
    <xf numFmtId="0" fontId="17" fillId="5" borderId="2" applyAlignment="1" pivotButton="0" quotePrefix="0" xfId="0">
      <alignment horizontal="left" vertical="center"/>
    </xf>
    <xf numFmtId="164" fontId="17" fillId="5" borderId="2" applyAlignment="1" pivotButton="0" quotePrefix="0" xfId="0">
      <alignment horizontal="center" vertical="center"/>
    </xf>
    <xf numFmtId="3" fontId="17" fillId="5" borderId="2" applyAlignment="1" pivotButton="0" quotePrefix="0" xfId="0">
      <alignment horizontal="center" vertical="center"/>
    </xf>
    <xf numFmtId="165" fontId="6" fillId="5" borderId="2" applyAlignment="1" pivotButton="0" quotePrefix="0" xfId="0">
      <alignment horizontal="center" vertical="center"/>
    </xf>
    <xf numFmtId="9" fontId="6" fillId="5" borderId="2" applyAlignment="1" pivotButton="0" quotePrefix="0" xfId="0">
      <alignment horizontal="center" vertical="center"/>
    </xf>
    <xf numFmtId="10" fontId="6" fillId="5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16" fillId="6" borderId="0" applyAlignment="1" pivotButton="0" quotePrefix="0" xfId="0">
      <alignment horizontal="center" vertical="center"/>
    </xf>
    <xf numFmtId="0" fontId="17" fillId="6" borderId="2" applyAlignment="1" pivotButton="0" quotePrefix="0" xfId="0">
      <alignment horizontal="left" vertical="center"/>
    </xf>
    <xf numFmtId="164" fontId="17" fillId="6" borderId="2" applyAlignment="1" pivotButton="0" quotePrefix="0" xfId="0">
      <alignment horizontal="center" vertical="center"/>
    </xf>
    <xf numFmtId="3" fontId="17" fillId="6" borderId="2" applyAlignment="1" pivotButton="0" quotePrefix="0" xfId="0">
      <alignment horizontal="center" vertical="center"/>
    </xf>
    <xf numFmtId="165" fontId="6" fillId="6" borderId="2" applyAlignment="1" pivotButton="0" quotePrefix="0" xfId="0">
      <alignment horizontal="center" vertical="center"/>
    </xf>
    <xf numFmtId="9" fontId="6" fillId="6" borderId="2" applyAlignment="1" pivotButton="0" quotePrefix="0" xfId="0">
      <alignment horizontal="center" vertical="center"/>
    </xf>
    <xf numFmtId="10" fontId="6" fillId="6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15" fillId="3" borderId="0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/>
    </xf>
    <xf numFmtId="0" fontId="6" fillId="6" borderId="2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 vertical="center"/>
    </xf>
    <xf numFmtId="164" fontId="10" fillId="4" borderId="0" applyAlignment="1" pivotButton="0" quotePrefix="0" xfId="0">
      <alignment horizontal="center" vertical="center"/>
    </xf>
    <xf numFmtId="164" fontId="11" fillId="4" borderId="0" applyAlignment="1" pivotButton="0" quotePrefix="0" xfId="0">
      <alignment horizontal="center" vertical="center"/>
    </xf>
    <xf numFmtId="165" fontId="12" fillId="4" borderId="0" applyAlignment="1" pivotButton="0" quotePrefix="0" xfId="0">
      <alignment horizontal="center" vertical="center"/>
    </xf>
    <xf numFmtId="3" fontId="13" fillId="4" borderId="0" applyAlignment="1" pivotButton="0" quotePrefix="0" xfId="0">
      <alignment horizontal="center" vertical="center"/>
    </xf>
    <xf numFmtId="9" fontId="11" fillId="4" borderId="0" applyAlignment="1" pivotButton="0" quotePrefix="0" xfId="0">
      <alignment horizontal="center" vertical="center"/>
    </xf>
    <xf numFmtId="1" fontId="12" fillId="4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15" fillId="2" borderId="1" applyAlignment="1" pivotButton="0" quotePrefix="0" xfId="0">
      <alignment horizontal="center" vertical="center" wrapText="1"/>
    </xf>
    <xf numFmtId="0" fontId="16" fillId="5" borderId="0" applyAlignment="1" pivotButton="0" quotePrefix="0" xfId="0">
      <alignment horizontal="center" vertical="center"/>
    </xf>
    <xf numFmtId="0" fontId="17" fillId="5" borderId="2" applyAlignment="1" pivotButton="0" quotePrefix="0" xfId="0">
      <alignment horizontal="left" vertical="center"/>
    </xf>
    <xf numFmtId="164" fontId="17" fillId="5" borderId="2" applyAlignment="1" pivotButton="0" quotePrefix="0" xfId="0">
      <alignment horizontal="center" vertical="center"/>
    </xf>
    <xf numFmtId="3" fontId="17" fillId="5" borderId="2" applyAlignment="1" pivotButton="0" quotePrefix="0" xfId="0">
      <alignment horizontal="center" vertical="center"/>
    </xf>
    <xf numFmtId="165" fontId="6" fillId="5" borderId="2" applyAlignment="1" pivotButton="0" quotePrefix="0" xfId="0">
      <alignment horizontal="center" vertical="center"/>
    </xf>
    <xf numFmtId="9" fontId="6" fillId="5" borderId="2" applyAlignment="1" pivotButton="0" quotePrefix="0" xfId="0">
      <alignment horizontal="center" vertical="center"/>
    </xf>
    <xf numFmtId="10" fontId="6" fillId="5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16" fillId="6" borderId="0" applyAlignment="1" pivotButton="0" quotePrefix="0" xfId="0">
      <alignment horizontal="center" vertical="center"/>
    </xf>
    <xf numFmtId="0" fontId="17" fillId="6" borderId="2" applyAlignment="1" pivotButton="0" quotePrefix="0" xfId="0">
      <alignment horizontal="left" vertical="center"/>
    </xf>
    <xf numFmtId="164" fontId="17" fillId="6" borderId="2" applyAlignment="1" pivotButton="0" quotePrefix="0" xfId="0">
      <alignment horizontal="center" vertical="center"/>
    </xf>
    <xf numFmtId="3" fontId="17" fillId="6" borderId="2" applyAlignment="1" pivotButton="0" quotePrefix="0" xfId="0">
      <alignment horizontal="center" vertical="center"/>
    </xf>
    <xf numFmtId="165" fontId="6" fillId="6" borderId="2" applyAlignment="1" pivotButton="0" quotePrefix="0" xfId="0">
      <alignment horizontal="center" vertical="center"/>
    </xf>
    <xf numFmtId="9" fontId="6" fillId="6" borderId="2" applyAlignment="1" pivotButton="0" quotePrefix="0" xfId="0">
      <alignment horizontal="center" vertical="center"/>
    </xf>
    <xf numFmtId="10" fontId="6" fillId="6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15" fillId="3" borderId="0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/>
    </xf>
    <xf numFmtId="0" fontId="6" fillId="6" borderId="2" applyAlignment="1" pivotButton="0" quotePrefix="0" xfId="0">
      <alignment horizontal="lef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111111"/>
      <rgbColor rgb="FF808000"/>
      <rgbColor rgb="FF800080"/>
      <rgbColor rgb="FF008080"/>
      <rgbColor rgb="FFC0C0C0"/>
      <rgbColor rgb="FF888888"/>
      <rgbColor rgb="FFA78BFA"/>
      <rgbColor rgb="FF993366"/>
      <rgbColor rgb="FFF7F7F5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48C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5CB8FF"/>
      <rgbColor rgb="FF99CC00"/>
      <rgbColor rgb="FFFFB547"/>
      <rgbColor rgb="FFFF9900"/>
      <rgbColor rgb="FFFF6600"/>
      <rgbColor rgb="FF666699"/>
      <rgbColor rgb="FF888899"/>
      <rgbColor rgb="FF0F3460"/>
      <rgbColor rgb="FF339966"/>
      <rgbColor rgb="FF16213E"/>
      <rgbColor rgb="FF1A1A2E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0" customWidth="1" style="36" min="1" max="1"/>
    <col width="60" customWidth="1" style="36" min="2" max="2"/>
  </cols>
  <sheetData>
    <row r="1" ht="30" customHeight="1" s="37">
      <c r="A1" s="38" t="inlineStr">
        <is>
          <t>HOW TO USE THIS TEMPLATE</t>
        </is>
      </c>
    </row>
    <row r="3" ht="19.5" customHeight="1" s="37">
      <c r="A3" s="39" t="inlineStr">
        <is>
          <t>BLUE CELLS</t>
        </is>
      </c>
      <c r="B3" s="40" t="inlineStr">
        <is>
          <t>Enter your data here — Campaign Name, Channel, Spend, Clicks, Conversions, Revenue</t>
        </is>
      </c>
    </row>
    <row r="4" ht="19.5" customHeight="1" s="37">
      <c r="A4" s="39" t="inlineStr">
        <is>
          <t>BLACK CELLS</t>
        </is>
      </c>
      <c r="B4" s="40" t="inlineStr">
        <is>
          <t>Calculated automatically — do not edit (ROAS, ROI, CTR, CVR, Flag)</t>
        </is>
      </c>
    </row>
    <row r="5" ht="19.5" customHeight="1" s="37">
      <c r="A5" s="39" t="inlineStr">
        <is>
          <t>KPI BOXES</t>
        </is>
      </c>
      <c r="B5" s="40" t="inlineStr">
        <is>
          <t>Update automatically when you add data — no action needed</t>
        </is>
      </c>
    </row>
    <row r="6" ht="19.5" customHeight="1" s="37">
      <c r="A6" s="39" t="inlineStr">
        <is>
          <t>TO REUSE</t>
        </is>
      </c>
      <c r="B6" s="40" t="inlineStr">
        <is>
          <t>Clear rows 11-110 (blue columns only), paste in new campaign data</t>
        </is>
      </c>
    </row>
    <row r="7" ht="19.5" customHeight="1" s="37">
      <c r="A7" s="39" t="inlineStr">
        <is>
          <t>ADDING ROWS</t>
        </is>
      </c>
      <c r="B7" s="40" t="inlineStr">
        <is>
          <t>Data range supports up to 100 campaigns (rows 11-110)</t>
        </is>
      </c>
    </row>
    <row r="8" ht="19.5" customHeight="1" s="37">
      <c r="A8" s="39" t="inlineStr">
        <is>
          <t>BENCHMARKS TAB</t>
        </is>
      </c>
      <c r="B8" s="40" t="inlineStr">
        <is>
          <t>Industry averages for comparison — update as needed</t>
        </is>
      </c>
    </row>
  </sheetData>
  <mergeCells count="1">
    <mergeCell ref="A1: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M11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36" min="1" max="1"/>
    <col width="24" customWidth="1" style="36" min="2" max="2"/>
    <col width="13" customWidth="1" style="36" min="3" max="4"/>
    <col width="10" customWidth="1" style="36" min="5" max="5"/>
    <col width="13" customWidth="1" style="36" min="6" max="7"/>
    <col width="10" customWidth="1" style="36" min="8" max="11"/>
    <col width="22" customWidth="1" style="36" min="12" max="12"/>
  </cols>
  <sheetData>
    <row r="1" ht="33.75" customHeight="1" s="37">
      <c r="A1" s="41" t="inlineStr">
        <is>
          <t>CAMPAIGN ROI CALCULATOR — MEC · TEMPLATE</t>
        </is>
      </c>
    </row>
    <row r="2" ht="18" customHeight="1" s="37">
      <c r="A2" s="42" t="inlineStr">
        <is>
          <t>Mason E. Cunningham (MEC)  ·  Portfolio Project  ·  Enter data in BLUE cells — all other cells calculate automatically</t>
        </is>
      </c>
    </row>
    <row r="3" ht="7.5" customHeight="1" s="37"/>
    <row r="4" ht="18" customHeight="1" s="37">
      <c r="A4" s="43" t="inlineStr">
        <is>
          <t>Total Spend</t>
        </is>
      </c>
      <c r="C4" s="43" t="inlineStr">
        <is>
          <t>Total Revenue</t>
        </is>
      </c>
      <c r="E4" s="43" t="inlineStr">
        <is>
          <t>Blended ROAS</t>
        </is>
      </c>
      <c r="G4" s="43" t="inlineStr">
        <is>
          <t>Total Conversions</t>
        </is>
      </c>
      <c r="I4" s="43" t="inlineStr">
        <is>
          <t>Avg ROI</t>
        </is>
      </c>
      <c r="K4" s="43" t="inlineStr">
        <is>
          <t>Campaigns Above 4x ROAS</t>
        </is>
      </c>
    </row>
    <row r="5" ht="27.75" customHeight="1" s="37">
      <c r="A5" s="44">
        <f>SUM(D10:D109)</f>
        <v/>
      </c>
      <c r="C5" s="45">
        <f>SUM(G10:G109)</f>
        <v/>
      </c>
      <c r="E5" s="46">
        <f>IFERROR(SUM(G10:G109)/SUM(D10:D109),0)</f>
        <v/>
      </c>
      <c r="G5" s="47">
        <f>SUM(F10:F109)</f>
        <v/>
      </c>
      <c r="I5" s="48">
        <f>IFERROR((SUM(G10:G109)-SUM(D10:D109))/SUM(D10:D109),0)</f>
        <v/>
      </c>
      <c r="K5" s="49">
        <f>COUNTIF(H10:H109,"&gt;="&amp;4)</f>
        <v/>
      </c>
    </row>
    <row r="6" ht="7.5" customHeight="1" s="37"/>
    <row r="7" ht="7.5" customHeight="1" s="37"/>
    <row r="8" ht="6" customHeight="1" s="37"/>
    <row r="9" ht="15" customHeight="1" s="37">
      <c r="A9" s="50" t="inlineStr">
        <is>
          <t>← Enter data in columns A–G</t>
        </is>
      </c>
    </row>
    <row r="10" ht="25.5" customHeight="1" s="37">
      <c r="A10" s="51" t="inlineStr">
        <is>
          <t>#</t>
        </is>
      </c>
      <c r="B10" s="51" t="inlineStr">
        <is>
          <t>Campaign Name</t>
        </is>
      </c>
      <c r="C10" s="51" t="inlineStr">
        <is>
          <t>Channel</t>
        </is>
      </c>
      <c r="D10" s="51" t="inlineStr">
        <is>
          <t>Spend ($)</t>
        </is>
      </c>
      <c r="E10" s="51" t="inlineStr">
        <is>
          <t>Clicks</t>
        </is>
      </c>
      <c r="F10" s="51" t="inlineStr">
        <is>
          <t>Conversions</t>
        </is>
      </c>
      <c r="G10" s="51" t="inlineStr">
        <is>
          <t>Revenue ($)</t>
        </is>
      </c>
      <c r="H10" s="51" t="inlineStr">
        <is>
          <t>ROAS</t>
        </is>
      </c>
      <c r="I10" s="51" t="inlineStr">
        <is>
          <t>ROI</t>
        </is>
      </c>
      <c r="J10" s="51" t="inlineStr">
        <is>
          <t>CTR</t>
        </is>
      </c>
      <c r="K10" s="51" t="inlineStr">
        <is>
          <t>CVR</t>
        </is>
      </c>
      <c r="L10" s="51" t="inlineStr">
        <is>
          <t>Performance Flag</t>
        </is>
      </c>
    </row>
    <row r="11" ht="18" customHeight="1" s="37">
      <c r="A11" s="52">
        <f>IF(B11&lt;&gt;"",ROW()-10,"")</f>
        <v/>
      </c>
      <c r="B11" s="53" t="inlineStr">
        <is>
          <t>Brand Search</t>
        </is>
      </c>
      <c r="C11" s="53" t="inlineStr">
        <is>
          <t>Search</t>
        </is>
      </c>
      <c r="D11" s="54" t="n">
        <v>4200</v>
      </c>
      <c r="E11" s="55" t="n">
        <v>3100</v>
      </c>
      <c r="F11" s="55" t="n">
        <v>186</v>
      </c>
      <c r="G11" s="54" t="n">
        <v>22400</v>
      </c>
      <c r="H11" s="56">
        <f>IFERROR(IF(B11="","",G11/D11),"")</f>
        <v/>
      </c>
      <c r="I11" s="57">
        <f>IFERROR(IF(B11="","",(G11-D11)/D11),"")</f>
        <v/>
      </c>
      <c r="J11" s="58">
        <f>IFERROR(IF(B11="","",E11/(E11/0.035)),"")</f>
        <v/>
      </c>
      <c r="K11" s="58">
        <f>IFERROR(IF(B11="","",F11/E11),"")</f>
        <v/>
      </c>
      <c r="L11" s="59">
        <f>IF(B11="","",IF(H11&gt;=4,"Strong — Scale",IF(H11&gt;=2.5,"Acceptable",IF(H11&gt;=1,"Below Target","Pause"))))</f>
        <v/>
      </c>
    </row>
    <row r="12" ht="18" customHeight="1" s="37">
      <c r="A12" s="60">
        <f>IF(B12&lt;&gt;"",ROW()-10,"")</f>
        <v/>
      </c>
      <c r="B12" s="61" t="inlineStr">
        <is>
          <t>Competitor Search</t>
        </is>
      </c>
      <c r="C12" s="61" t="inlineStr">
        <is>
          <t>Search</t>
        </is>
      </c>
      <c r="D12" s="62" t="n">
        <v>3800</v>
      </c>
      <c r="E12" s="63" t="n">
        <v>2600</v>
      </c>
      <c r="F12" s="63" t="n">
        <v>104</v>
      </c>
      <c r="G12" s="62" t="n">
        <v>14200</v>
      </c>
      <c r="H12" s="64">
        <f>IFERROR(IF(B12="","",G12/D12),"")</f>
        <v/>
      </c>
      <c r="I12" s="65">
        <f>IFERROR(IF(B12="","",(G12-D12)/D12),"")</f>
        <v/>
      </c>
      <c r="J12" s="66">
        <f>IFERROR(IF(B12="","",E12/(E12/0.035)),"")</f>
        <v/>
      </c>
      <c r="K12" s="66">
        <f>IFERROR(IF(B12="","",F12/E12),"")</f>
        <v/>
      </c>
      <c r="L12" s="67">
        <f>IF(B12="","",IF(H12&gt;=4,"Strong — Scale",IF(H12&gt;=2.5,"Acceptable",IF(H12&gt;=1,"Below Target","Pause"))))</f>
        <v/>
      </c>
    </row>
    <row r="13" ht="18" customHeight="1" s="37">
      <c r="A13" s="52">
        <f>IF(B13&lt;&gt;"",ROW()-10,"")</f>
        <v/>
      </c>
      <c r="B13" s="53" t="inlineStr">
        <is>
          <t>Generic Search</t>
        </is>
      </c>
      <c r="C13" s="53" t="inlineStr">
        <is>
          <t>Search</t>
        </is>
      </c>
      <c r="D13" s="54" t="n">
        <v>5100</v>
      </c>
      <c r="E13" s="55" t="n">
        <v>4200</v>
      </c>
      <c r="F13" s="55" t="n">
        <v>147</v>
      </c>
      <c r="G13" s="54" t="n">
        <v>17600</v>
      </c>
      <c r="H13" s="56">
        <f>IFERROR(IF(B13="","",G13/D13),"")</f>
        <v/>
      </c>
      <c r="I13" s="57">
        <f>IFERROR(IF(B13="","",(G13-D13)/D13),"")</f>
        <v/>
      </c>
      <c r="J13" s="58">
        <f>IFERROR(IF(B13="","",E13/(E13/0.035)),"")</f>
        <v/>
      </c>
      <c r="K13" s="58">
        <f>IFERROR(IF(B13="","",F13/E13),"")</f>
        <v/>
      </c>
      <c r="L13" s="59">
        <f>IF(B13="","",IF(H13&gt;=4,"Strong — Scale",IF(H13&gt;=2.5,"Acceptable",IF(H13&gt;=1,"Below Target","Pause"))))</f>
        <v/>
      </c>
    </row>
    <row r="14" ht="18" customHeight="1" s="37">
      <c r="A14" s="60">
        <f>IF(B14&lt;&gt;"",ROW()-10,"")</f>
        <v/>
      </c>
      <c r="B14" s="61" t="inlineStr">
        <is>
          <t>Retargeting</t>
        </is>
      </c>
      <c r="C14" s="61" t="inlineStr">
        <is>
          <t>Display</t>
        </is>
      </c>
      <c r="D14" s="62" t="n">
        <v>1800</v>
      </c>
      <c r="E14" s="63" t="n">
        <v>8400</v>
      </c>
      <c r="F14" s="63" t="n">
        <v>126</v>
      </c>
      <c r="G14" s="62" t="n">
        <v>11800</v>
      </c>
      <c r="H14" s="64">
        <f>IFERROR(IF(B14="","",G14/D14),"")</f>
        <v/>
      </c>
      <c r="I14" s="65">
        <f>IFERROR(IF(B14="","",(G14-D14)/D14),"")</f>
        <v/>
      </c>
      <c r="J14" s="66">
        <f>IFERROR(IF(B14="","",E14/(E14/0.035)),"")</f>
        <v/>
      </c>
      <c r="K14" s="66">
        <f>IFERROR(IF(B14="","",F14/E14),"")</f>
        <v/>
      </c>
      <c r="L14" s="67">
        <f>IF(B14="","",IF(H14&gt;=4,"Strong — Scale",IF(H14&gt;=2.5,"Acceptable",IF(H14&gt;=1,"Below Target","Pause"))))</f>
        <v/>
      </c>
    </row>
    <row r="15" ht="18" customHeight="1" s="37">
      <c r="A15" s="52">
        <f>IF(B15&lt;&gt;"",ROW()-10,"")</f>
        <v/>
      </c>
      <c r="B15" s="53" t="inlineStr">
        <is>
          <t>Prospecting</t>
        </is>
      </c>
      <c r="C15" s="53" t="inlineStr">
        <is>
          <t>Display</t>
        </is>
      </c>
      <c r="D15" s="54" t="n">
        <v>2900</v>
      </c>
      <c r="E15" s="55" t="n">
        <v>9100</v>
      </c>
      <c r="F15" s="55" t="n">
        <v>64</v>
      </c>
      <c r="G15" s="54" t="n">
        <v>6200</v>
      </c>
      <c r="H15" s="56">
        <f>IFERROR(IF(B15="","",G15/D15),"")</f>
        <v/>
      </c>
      <c r="I15" s="57">
        <f>IFERROR(IF(B15="","",(G15-D15)/D15),"")</f>
        <v/>
      </c>
      <c r="J15" s="58">
        <f>IFERROR(IF(B15="","",E15/(E15/0.035)),"")</f>
        <v/>
      </c>
      <c r="K15" s="58">
        <f>IFERROR(IF(B15="","",F15/E15),"")</f>
        <v/>
      </c>
      <c r="L15" s="59">
        <f>IF(B15="","",IF(H15&gt;=4,"Strong — Scale",IF(H15&gt;=2.5,"Acceptable",IF(H15&gt;=1,"Below Target","Pause"))))</f>
        <v/>
      </c>
    </row>
    <row r="16" ht="18" customHeight="1" s="37">
      <c r="A16" s="60">
        <f>IF(B16&lt;&gt;"",ROW()-10,"")</f>
        <v/>
      </c>
      <c r="B16" s="61" t="inlineStr">
        <is>
          <t>YouTube Pre-roll</t>
        </is>
      </c>
      <c r="C16" s="61" t="inlineStr">
        <is>
          <t>YouTube</t>
        </is>
      </c>
      <c r="D16" s="62" t="n">
        <v>3300</v>
      </c>
      <c r="E16" s="63" t="n">
        <v>2100</v>
      </c>
      <c r="F16" s="63" t="n">
        <v>42</v>
      </c>
      <c r="G16" s="62" t="n">
        <v>5800</v>
      </c>
      <c r="H16" s="64">
        <f>IFERROR(IF(B16="","",G16/D16),"")</f>
        <v/>
      </c>
      <c r="I16" s="65">
        <f>IFERROR(IF(B16="","",(G16-D16)/D16),"")</f>
        <v/>
      </c>
      <c r="J16" s="66">
        <f>IFERROR(IF(B16="","",E16/(E16/0.035)),"")</f>
        <v/>
      </c>
      <c r="K16" s="66">
        <f>IFERROR(IF(B16="","",F16/E16),"")</f>
        <v/>
      </c>
      <c r="L16" s="67">
        <f>IF(B16="","",IF(H16&gt;=4,"Strong — Scale",IF(H16&gt;=2.5,"Acceptable",IF(H16&gt;=1,"Below Target","Pause"))))</f>
        <v/>
      </c>
    </row>
    <row r="17" ht="18" customHeight="1" s="37">
      <c r="A17" s="52">
        <f>IF(B17&lt;&gt;"",ROW()-10,"")</f>
        <v/>
      </c>
      <c r="B17" s="53" t="inlineStr">
        <is>
          <t>Shopping — Core</t>
        </is>
      </c>
      <c r="C17" s="53" t="inlineStr">
        <is>
          <t>Shopping</t>
        </is>
      </c>
      <c r="D17" s="54" t="n">
        <v>6200</v>
      </c>
      <c r="E17" s="55" t="n">
        <v>5800</v>
      </c>
      <c r="F17" s="55" t="n">
        <v>290</v>
      </c>
      <c r="G17" s="54" t="n">
        <v>34100</v>
      </c>
      <c r="H17" s="56">
        <f>IFERROR(IF(B17="","",G17/D17),"")</f>
        <v/>
      </c>
      <c r="I17" s="57">
        <f>IFERROR(IF(B17="","",(G17-D17)/D17),"")</f>
        <v/>
      </c>
      <c r="J17" s="58">
        <f>IFERROR(IF(B17="","",E17/(E17/0.035)),"")</f>
        <v/>
      </c>
      <c r="K17" s="58">
        <f>IFERROR(IF(B17="","",F17/E17),"")</f>
        <v/>
      </c>
      <c r="L17" s="59">
        <f>IF(B17="","",IF(H17&gt;=4,"Strong — Scale",IF(H17&gt;=2.5,"Acceptable",IF(H17&gt;=1,"Below Target","Pause"))))</f>
        <v/>
      </c>
    </row>
    <row r="18" ht="18" customHeight="1" s="37">
      <c r="A18" s="60">
        <f>IF(B18&lt;&gt;"",ROW()-10,"")</f>
        <v/>
      </c>
      <c r="B18" s="61" t="inlineStr">
        <is>
          <t>Shopping — Seasonal</t>
        </is>
      </c>
      <c r="C18" s="61" t="inlineStr">
        <is>
          <t>Shopping</t>
        </is>
      </c>
      <c r="D18" s="62" t="n">
        <v>4100</v>
      </c>
      <c r="E18" s="63" t="n">
        <v>3900</v>
      </c>
      <c r="F18" s="63" t="n">
        <v>195</v>
      </c>
      <c r="G18" s="62" t="n">
        <v>24600</v>
      </c>
      <c r="H18" s="64">
        <f>IFERROR(IF(B18="","",G18/D18),"")</f>
        <v/>
      </c>
      <c r="I18" s="65">
        <f>IFERROR(IF(B18="","",(G18-D18)/D18),"")</f>
        <v/>
      </c>
      <c r="J18" s="66">
        <f>IFERROR(IF(B18="","",E18/(E18/0.035)),"")</f>
        <v/>
      </c>
      <c r="K18" s="66">
        <f>IFERROR(IF(B18="","",F18/E18),"")</f>
        <v/>
      </c>
      <c r="L18" s="67">
        <f>IF(B18="","",IF(H18&gt;=4,"Strong — Scale",IF(H18&gt;=2.5,"Acceptable",IF(H18&gt;=1,"Below Target","Pause"))))</f>
        <v/>
      </c>
    </row>
    <row r="19" ht="18" customHeight="1" s="37">
      <c r="A19" s="52">
        <f>IF(B19&lt;&gt;"",ROW()-10,"")</f>
        <v/>
      </c>
      <c r="B19" s="53" t="inlineStr">
        <is>
          <t>Discovery</t>
        </is>
      </c>
      <c r="C19" s="53" t="inlineStr">
        <is>
          <t>Display</t>
        </is>
      </c>
      <c r="D19" s="54" t="n">
        <v>1600</v>
      </c>
      <c r="E19" s="55" t="n">
        <v>6200</v>
      </c>
      <c r="F19" s="55" t="n">
        <v>31</v>
      </c>
      <c r="G19" s="54" t="n">
        <v>2900</v>
      </c>
      <c r="H19" s="56">
        <f>IFERROR(IF(B19="","",G19/D19),"")</f>
        <v/>
      </c>
      <c r="I19" s="57">
        <f>IFERROR(IF(B19="","",(G19-D19)/D19),"")</f>
        <v/>
      </c>
      <c r="J19" s="58">
        <f>IFERROR(IF(B19="","",E19/(E19/0.035)),"")</f>
        <v/>
      </c>
      <c r="K19" s="58">
        <f>IFERROR(IF(B19="","",F19/E19),"")</f>
        <v/>
      </c>
      <c r="L19" s="59">
        <f>IF(B19="","",IF(H19&gt;=4,"Strong — Scale",IF(H19&gt;=2.5,"Acceptable",IF(H19&gt;=1,"Below Target","Pause"))))</f>
        <v/>
      </c>
    </row>
    <row r="20" ht="18" customHeight="1" s="37">
      <c r="A20" s="60">
        <f>IF(B20&lt;&gt;"",ROW()-10,"")</f>
        <v/>
      </c>
      <c r="B20" s="61" t="inlineStr">
        <is>
          <t>Performance Max</t>
        </is>
      </c>
      <c r="C20" s="61" t="inlineStr">
        <is>
          <t>Search</t>
        </is>
      </c>
      <c r="D20" s="62" t="n">
        <v>7400</v>
      </c>
      <c r="E20" s="63" t="n">
        <v>6100</v>
      </c>
      <c r="F20" s="63" t="n">
        <v>268</v>
      </c>
      <c r="G20" s="62" t="n">
        <v>38200</v>
      </c>
      <c r="H20" s="64">
        <f>IFERROR(IF(B20="","",G20/D20),"")</f>
        <v/>
      </c>
      <c r="I20" s="65">
        <f>IFERROR(IF(B20="","",(G20-D20)/D20),"")</f>
        <v/>
      </c>
      <c r="J20" s="66">
        <f>IFERROR(IF(B20="","",E20/(E20/0.035)),"")</f>
        <v/>
      </c>
      <c r="K20" s="66">
        <f>IFERROR(IF(B20="","",F20/E20),"")</f>
        <v/>
      </c>
      <c r="L20" s="67">
        <f>IF(B20="","",IF(H20&gt;=4,"Strong — Scale",IF(H20&gt;=2.5,"Acceptable",IF(H20&gt;=1,"Below Target","Pause"))))</f>
        <v/>
      </c>
    </row>
    <row r="21" ht="18" customHeight="1" s="37">
      <c r="A21" s="52">
        <f>IF(B21&lt;&gt;"",ROW()-10,"")</f>
        <v/>
      </c>
      <c r="B21" s="53" t="n"/>
      <c r="C21" s="53" t="n"/>
      <c r="D21" s="54" t="n"/>
      <c r="E21" s="55" t="n"/>
      <c r="F21" s="55" t="n"/>
      <c r="G21" s="54" t="n"/>
      <c r="H21" s="56">
        <f>IFERROR(IF(B21="","",G21/D21),"")</f>
        <v/>
      </c>
      <c r="I21" s="57">
        <f>IFERROR(IF(B21="","",(G21-D21)/D21),"")</f>
        <v/>
      </c>
      <c r="J21" s="58">
        <f>IFERROR(IF(B21="","",E21/(E21/0.035)),"")</f>
        <v/>
      </c>
      <c r="K21" s="58">
        <f>IFERROR(IF(B21="","",F21/E21),"")</f>
        <v/>
      </c>
      <c r="L21" s="59">
        <f>IF(B21="","",IF(H21&gt;=4,"Strong — Scale",IF(H21&gt;=2.5,"Acceptable",IF(H21&gt;=1,"Below Target","Pause"))))</f>
        <v/>
      </c>
    </row>
    <row r="22" ht="18" customHeight="1" s="37">
      <c r="A22" s="60">
        <f>IF(B22&lt;&gt;"",ROW()-10,"")</f>
        <v/>
      </c>
      <c r="B22" s="61" t="n"/>
      <c r="C22" s="61" t="n"/>
      <c r="D22" s="62" t="n"/>
      <c r="E22" s="63" t="n"/>
      <c r="F22" s="63" t="n"/>
      <c r="G22" s="62" t="n"/>
      <c r="H22" s="64">
        <f>IFERROR(IF(B22="","",G22/D22),"")</f>
        <v/>
      </c>
      <c r="I22" s="65">
        <f>IFERROR(IF(B22="","",(G22-D22)/D22),"")</f>
        <v/>
      </c>
      <c r="J22" s="66">
        <f>IFERROR(IF(B22="","",E22/(E22/0.035)),"")</f>
        <v/>
      </c>
      <c r="K22" s="66">
        <f>IFERROR(IF(B22="","",F22/E22),"")</f>
        <v/>
      </c>
      <c r="L22" s="67">
        <f>IF(B22="","",IF(H22&gt;=4,"Strong — Scale",IF(H22&gt;=2.5,"Acceptable",IF(H22&gt;=1,"Below Target","Pause"))))</f>
        <v/>
      </c>
    </row>
    <row r="23" ht="18" customHeight="1" s="37">
      <c r="A23" s="52">
        <f>IF(B23&lt;&gt;"",ROW()-10,"")</f>
        <v/>
      </c>
      <c r="B23" s="53" t="n"/>
      <c r="C23" s="53" t="n"/>
      <c r="D23" s="54" t="n"/>
      <c r="E23" s="55" t="n"/>
      <c r="F23" s="55" t="n"/>
      <c r="G23" s="54" t="n"/>
      <c r="H23" s="56">
        <f>IFERROR(IF(B23="","",G23/D23),"")</f>
        <v/>
      </c>
      <c r="I23" s="57">
        <f>IFERROR(IF(B23="","",(G23-D23)/D23),"")</f>
        <v/>
      </c>
      <c r="J23" s="58">
        <f>IFERROR(IF(B23="","",E23/(E23/0.035)),"")</f>
        <v/>
      </c>
      <c r="K23" s="58">
        <f>IFERROR(IF(B23="","",F23/E23),"")</f>
        <v/>
      </c>
      <c r="L23" s="59">
        <f>IF(B23="","",IF(H23&gt;=4,"Strong — Scale",IF(H23&gt;=2.5,"Acceptable",IF(H23&gt;=1,"Below Target","Pause"))))</f>
        <v/>
      </c>
    </row>
    <row r="24" ht="18" customHeight="1" s="37">
      <c r="A24" s="60">
        <f>IF(B24&lt;&gt;"",ROW()-10,"")</f>
        <v/>
      </c>
      <c r="B24" s="61" t="n"/>
      <c r="C24" s="61" t="n"/>
      <c r="D24" s="62" t="n"/>
      <c r="E24" s="63" t="n"/>
      <c r="F24" s="63" t="n"/>
      <c r="G24" s="62" t="n"/>
      <c r="H24" s="64">
        <f>IFERROR(IF(B24="","",G24/D24),"")</f>
        <v/>
      </c>
      <c r="I24" s="65">
        <f>IFERROR(IF(B24="","",(G24-D24)/D24),"")</f>
        <v/>
      </c>
      <c r="J24" s="66">
        <f>IFERROR(IF(B24="","",E24/(E24/0.035)),"")</f>
        <v/>
      </c>
      <c r="K24" s="66">
        <f>IFERROR(IF(B24="","",F24/E24),"")</f>
        <v/>
      </c>
      <c r="L24" s="67">
        <f>IF(B24="","",IF(H24&gt;=4,"Strong — Scale",IF(H24&gt;=2.5,"Acceptable",IF(H24&gt;=1,"Below Target","Pause"))))</f>
        <v/>
      </c>
    </row>
    <row r="25" ht="18" customHeight="1" s="37">
      <c r="A25" s="52">
        <f>IF(B25&lt;&gt;"",ROW()-10,"")</f>
        <v/>
      </c>
      <c r="B25" s="53" t="n"/>
      <c r="C25" s="53" t="n"/>
      <c r="D25" s="54" t="n"/>
      <c r="E25" s="55" t="n"/>
      <c r="F25" s="55" t="n"/>
      <c r="G25" s="54" t="n"/>
      <c r="H25" s="56">
        <f>IFERROR(IF(B25="","",G25/D25),"")</f>
        <v/>
      </c>
      <c r="I25" s="57">
        <f>IFERROR(IF(B25="","",(G25-D25)/D25),"")</f>
        <v/>
      </c>
      <c r="J25" s="58">
        <f>IFERROR(IF(B25="","",E25/(E25/0.035)),"")</f>
        <v/>
      </c>
      <c r="K25" s="58">
        <f>IFERROR(IF(B25="","",F25/E25),"")</f>
        <v/>
      </c>
      <c r="L25" s="59">
        <f>IF(B25="","",IF(H25&gt;=4,"Strong — Scale",IF(H25&gt;=2.5,"Acceptable",IF(H25&gt;=1,"Below Target","Pause"))))</f>
        <v/>
      </c>
    </row>
    <row r="26" ht="18" customHeight="1" s="37">
      <c r="A26" s="60">
        <f>IF(B26&lt;&gt;"",ROW()-10,"")</f>
        <v/>
      </c>
      <c r="B26" s="61" t="n"/>
      <c r="C26" s="61" t="n"/>
      <c r="D26" s="62" t="n"/>
      <c r="E26" s="63" t="n"/>
      <c r="F26" s="63" t="n"/>
      <c r="G26" s="62" t="n"/>
      <c r="H26" s="64">
        <f>IFERROR(IF(B26="","",G26/D26),"")</f>
        <v/>
      </c>
      <c r="I26" s="65">
        <f>IFERROR(IF(B26="","",(G26-D26)/D26),"")</f>
        <v/>
      </c>
      <c r="J26" s="66">
        <f>IFERROR(IF(B26="","",E26/(E26/0.035)),"")</f>
        <v/>
      </c>
      <c r="K26" s="66">
        <f>IFERROR(IF(B26="","",F26/E26),"")</f>
        <v/>
      </c>
      <c r="L26" s="67">
        <f>IF(B26="","",IF(H26&gt;=4,"Strong — Scale",IF(H26&gt;=2.5,"Acceptable",IF(H26&gt;=1,"Below Target","Pause"))))</f>
        <v/>
      </c>
    </row>
    <row r="27" ht="18" customHeight="1" s="37">
      <c r="A27" s="52">
        <f>IF(B27&lt;&gt;"",ROW()-10,"")</f>
        <v/>
      </c>
      <c r="B27" s="53" t="n"/>
      <c r="C27" s="53" t="n"/>
      <c r="D27" s="54" t="n"/>
      <c r="E27" s="55" t="n"/>
      <c r="F27" s="55" t="n"/>
      <c r="G27" s="54" t="n"/>
      <c r="H27" s="56">
        <f>IFERROR(IF(B27="","",G27/D27),"")</f>
        <v/>
      </c>
      <c r="I27" s="57">
        <f>IFERROR(IF(B27="","",(G27-D27)/D27),"")</f>
        <v/>
      </c>
      <c r="J27" s="58">
        <f>IFERROR(IF(B27="","",E27/(E27/0.035)),"")</f>
        <v/>
      </c>
      <c r="K27" s="58">
        <f>IFERROR(IF(B27="","",F27/E27),"")</f>
        <v/>
      </c>
      <c r="L27" s="59">
        <f>IF(B27="","",IF(H27&gt;=4,"Strong — Scale",IF(H27&gt;=2.5,"Acceptable",IF(H27&gt;=1,"Below Target","Pause"))))</f>
        <v/>
      </c>
    </row>
    <row r="28" ht="18" customHeight="1" s="37">
      <c r="A28" s="60">
        <f>IF(B28&lt;&gt;"",ROW()-10,"")</f>
        <v/>
      </c>
      <c r="B28" s="61" t="n"/>
      <c r="C28" s="61" t="n"/>
      <c r="D28" s="62" t="n"/>
      <c r="E28" s="63" t="n"/>
      <c r="F28" s="63" t="n"/>
      <c r="G28" s="62" t="n"/>
      <c r="H28" s="64">
        <f>IFERROR(IF(B28="","",G28/D28),"")</f>
        <v/>
      </c>
      <c r="I28" s="65">
        <f>IFERROR(IF(B28="","",(G28-D28)/D28),"")</f>
        <v/>
      </c>
      <c r="J28" s="66">
        <f>IFERROR(IF(B28="","",E28/(E28/0.035)),"")</f>
        <v/>
      </c>
      <c r="K28" s="66">
        <f>IFERROR(IF(B28="","",F28/E28),"")</f>
        <v/>
      </c>
      <c r="L28" s="67">
        <f>IF(B28="","",IF(H28&gt;=4,"Strong — Scale",IF(H28&gt;=2.5,"Acceptable",IF(H28&gt;=1,"Below Target","Pause"))))</f>
        <v/>
      </c>
    </row>
    <row r="29" ht="18" customHeight="1" s="37">
      <c r="A29" s="52">
        <f>IF(B29&lt;&gt;"",ROW()-10,"")</f>
        <v/>
      </c>
      <c r="B29" s="53" t="n"/>
      <c r="C29" s="53" t="n"/>
      <c r="D29" s="54" t="n"/>
      <c r="E29" s="55" t="n"/>
      <c r="F29" s="55" t="n"/>
      <c r="G29" s="54" t="n"/>
      <c r="H29" s="56">
        <f>IFERROR(IF(B29="","",G29/D29),"")</f>
        <v/>
      </c>
      <c r="I29" s="57">
        <f>IFERROR(IF(B29="","",(G29-D29)/D29),"")</f>
        <v/>
      </c>
      <c r="J29" s="58">
        <f>IFERROR(IF(B29="","",E29/(E29/0.035)),"")</f>
        <v/>
      </c>
      <c r="K29" s="58">
        <f>IFERROR(IF(B29="","",F29/E29),"")</f>
        <v/>
      </c>
      <c r="L29" s="59">
        <f>IF(B29="","",IF(H29&gt;=4,"Strong — Scale",IF(H29&gt;=2.5,"Acceptable",IF(H29&gt;=1,"Below Target","Pause"))))</f>
        <v/>
      </c>
    </row>
    <row r="30" ht="18" customHeight="1" s="37">
      <c r="A30" s="60">
        <f>IF(B30&lt;&gt;"",ROW()-10,"")</f>
        <v/>
      </c>
      <c r="B30" s="61" t="n"/>
      <c r="C30" s="61" t="n"/>
      <c r="D30" s="62" t="n"/>
      <c r="E30" s="63" t="n"/>
      <c r="F30" s="63" t="n"/>
      <c r="G30" s="62" t="n"/>
      <c r="H30" s="64">
        <f>IFERROR(IF(B30="","",G30/D30),"")</f>
        <v/>
      </c>
      <c r="I30" s="65">
        <f>IFERROR(IF(B30="","",(G30-D30)/D30),"")</f>
        <v/>
      </c>
      <c r="J30" s="66">
        <f>IFERROR(IF(B30="","",E30/(E30/0.035)),"")</f>
        <v/>
      </c>
      <c r="K30" s="66">
        <f>IFERROR(IF(B30="","",F30/E30),"")</f>
        <v/>
      </c>
      <c r="L30" s="67">
        <f>IF(B30="","",IF(H30&gt;=4,"Strong — Scale",IF(H30&gt;=2.5,"Acceptable",IF(H30&gt;=1,"Below Target","Pause"))))</f>
        <v/>
      </c>
    </row>
    <row r="31" ht="18" customHeight="1" s="37">
      <c r="A31" s="52">
        <f>IF(B31&lt;&gt;"",ROW()-10,"")</f>
        <v/>
      </c>
      <c r="B31" s="53" t="n"/>
      <c r="C31" s="53" t="n"/>
      <c r="D31" s="54" t="n"/>
      <c r="E31" s="55" t="n"/>
      <c r="F31" s="55" t="n"/>
      <c r="G31" s="54" t="n"/>
      <c r="H31" s="56">
        <f>IFERROR(IF(B31="","",G31/D31),"")</f>
        <v/>
      </c>
      <c r="I31" s="57">
        <f>IFERROR(IF(B31="","",(G31-D31)/D31),"")</f>
        <v/>
      </c>
      <c r="J31" s="58">
        <f>IFERROR(IF(B31="","",E31/(E31/0.035)),"")</f>
        <v/>
      </c>
      <c r="K31" s="58">
        <f>IFERROR(IF(B31="","",F31/E31),"")</f>
        <v/>
      </c>
      <c r="L31" s="59">
        <f>IF(B31="","",IF(H31&gt;=4,"Strong — Scale",IF(H31&gt;=2.5,"Acceptable",IF(H31&gt;=1,"Below Target","Pause"))))</f>
        <v/>
      </c>
    </row>
    <row r="32" ht="18" customHeight="1" s="37">
      <c r="A32" s="60">
        <f>IF(B32&lt;&gt;"",ROW()-10,"")</f>
        <v/>
      </c>
      <c r="B32" s="61" t="n"/>
      <c r="C32" s="61" t="n"/>
      <c r="D32" s="62" t="n"/>
      <c r="E32" s="63" t="n"/>
      <c r="F32" s="63" t="n"/>
      <c r="G32" s="62" t="n"/>
      <c r="H32" s="64">
        <f>IFERROR(IF(B32="","",G32/D32),"")</f>
        <v/>
      </c>
      <c r="I32" s="65">
        <f>IFERROR(IF(B32="","",(G32-D32)/D32),"")</f>
        <v/>
      </c>
      <c r="J32" s="66">
        <f>IFERROR(IF(B32="","",E32/(E32/0.035)),"")</f>
        <v/>
      </c>
      <c r="K32" s="66">
        <f>IFERROR(IF(B32="","",F32/E32),"")</f>
        <v/>
      </c>
      <c r="L32" s="67">
        <f>IF(B32="","",IF(H32&gt;=4,"Strong — Scale",IF(H32&gt;=2.5,"Acceptable",IF(H32&gt;=1,"Below Target","Pause"))))</f>
        <v/>
      </c>
    </row>
    <row r="33" ht="18" customHeight="1" s="37">
      <c r="A33" s="52">
        <f>IF(B33&lt;&gt;"",ROW()-10,"")</f>
        <v/>
      </c>
      <c r="B33" s="53" t="n"/>
      <c r="C33" s="53" t="n"/>
      <c r="D33" s="54" t="n"/>
      <c r="E33" s="55" t="n"/>
      <c r="F33" s="55" t="n"/>
      <c r="G33" s="54" t="n"/>
      <c r="H33" s="56">
        <f>IFERROR(IF(B33="","",G33/D33),"")</f>
        <v/>
      </c>
      <c r="I33" s="57">
        <f>IFERROR(IF(B33="","",(G33-D33)/D33),"")</f>
        <v/>
      </c>
      <c r="J33" s="58">
        <f>IFERROR(IF(B33="","",E33/(E33/0.035)),"")</f>
        <v/>
      </c>
      <c r="K33" s="58">
        <f>IFERROR(IF(B33="","",F33/E33),"")</f>
        <v/>
      </c>
      <c r="L33" s="59">
        <f>IF(B33="","",IF(H33&gt;=4,"Strong — Scale",IF(H33&gt;=2.5,"Acceptable",IF(H33&gt;=1,"Below Target","Pause"))))</f>
        <v/>
      </c>
    </row>
    <row r="34" ht="18" customHeight="1" s="37">
      <c r="A34" s="60">
        <f>IF(B34&lt;&gt;"",ROW()-10,"")</f>
        <v/>
      </c>
      <c r="B34" s="61" t="n"/>
      <c r="C34" s="61" t="n"/>
      <c r="D34" s="62" t="n"/>
      <c r="E34" s="63" t="n"/>
      <c r="F34" s="63" t="n"/>
      <c r="G34" s="62" t="n"/>
      <c r="H34" s="64">
        <f>IFERROR(IF(B34="","",G34/D34),"")</f>
        <v/>
      </c>
      <c r="I34" s="65">
        <f>IFERROR(IF(B34="","",(G34-D34)/D34),"")</f>
        <v/>
      </c>
      <c r="J34" s="66">
        <f>IFERROR(IF(B34="","",E34/(E34/0.035)),"")</f>
        <v/>
      </c>
      <c r="K34" s="66">
        <f>IFERROR(IF(B34="","",F34/E34),"")</f>
        <v/>
      </c>
      <c r="L34" s="67">
        <f>IF(B34="","",IF(H34&gt;=4,"Strong — Scale",IF(H34&gt;=2.5,"Acceptable",IF(H34&gt;=1,"Below Target","Pause"))))</f>
        <v/>
      </c>
    </row>
    <row r="35" ht="18" customHeight="1" s="37">
      <c r="A35" s="52">
        <f>IF(B35&lt;&gt;"",ROW()-10,"")</f>
        <v/>
      </c>
      <c r="B35" s="53" t="n"/>
      <c r="C35" s="53" t="n"/>
      <c r="D35" s="54" t="n"/>
      <c r="E35" s="55" t="n"/>
      <c r="F35" s="55" t="n"/>
      <c r="G35" s="54" t="n"/>
      <c r="H35" s="56">
        <f>IFERROR(IF(B35="","",G35/D35),"")</f>
        <v/>
      </c>
      <c r="I35" s="57">
        <f>IFERROR(IF(B35="","",(G35-D35)/D35),"")</f>
        <v/>
      </c>
      <c r="J35" s="58">
        <f>IFERROR(IF(B35="","",E35/(E35/0.035)),"")</f>
        <v/>
      </c>
      <c r="K35" s="58">
        <f>IFERROR(IF(B35="","",F35/E35),"")</f>
        <v/>
      </c>
      <c r="L35" s="59">
        <f>IF(B35="","",IF(H35&gt;=4,"Strong — Scale",IF(H35&gt;=2.5,"Acceptable",IF(H35&gt;=1,"Below Target","Pause"))))</f>
        <v/>
      </c>
    </row>
    <row r="36" ht="18" customHeight="1" s="37">
      <c r="A36" s="60">
        <f>IF(B36&lt;&gt;"",ROW()-10,"")</f>
        <v/>
      </c>
      <c r="B36" s="61" t="n"/>
      <c r="C36" s="61" t="n"/>
      <c r="D36" s="62" t="n"/>
      <c r="E36" s="63" t="n"/>
      <c r="F36" s="63" t="n"/>
      <c r="G36" s="62" t="n"/>
      <c r="H36" s="64">
        <f>IFERROR(IF(B36="","",G36/D36),"")</f>
        <v/>
      </c>
      <c r="I36" s="65">
        <f>IFERROR(IF(B36="","",(G36-D36)/D36),"")</f>
        <v/>
      </c>
      <c r="J36" s="66">
        <f>IFERROR(IF(B36="","",E36/(E36/0.035)),"")</f>
        <v/>
      </c>
      <c r="K36" s="66">
        <f>IFERROR(IF(B36="","",F36/E36),"")</f>
        <v/>
      </c>
      <c r="L36" s="67">
        <f>IF(B36="","",IF(H36&gt;=4,"Strong — Scale",IF(H36&gt;=2.5,"Acceptable",IF(H36&gt;=1,"Below Target","Pause"))))</f>
        <v/>
      </c>
    </row>
    <row r="37" ht="18" customHeight="1" s="37">
      <c r="A37" s="52">
        <f>IF(B37&lt;&gt;"",ROW()-10,"")</f>
        <v/>
      </c>
      <c r="B37" s="53" t="n"/>
      <c r="C37" s="53" t="n"/>
      <c r="D37" s="54" t="n"/>
      <c r="E37" s="55" t="n"/>
      <c r="F37" s="55" t="n"/>
      <c r="G37" s="54" t="n"/>
      <c r="H37" s="56">
        <f>IFERROR(IF(B37="","",G37/D37),"")</f>
        <v/>
      </c>
      <c r="I37" s="57">
        <f>IFERROR(IF(B37="","",(G37-D37)/D37),"")</f>
        <v/>
      </c>
      <c r="J37" s="58">
        <f>IFERROR(IF(B37="","",E37/(E37/0.035)),"")</f>
        <v/>
      </c>
      <c r="K37" s="58">
        <f>IFERROR(IF(B37="","",F37/E37),"")</f>
        <v/>
      </c>
      <c r="L37" s="59">
        <f>IF(B37="","",IF(H37&gt;=4,"Strong — Scale",IF(H37&gt;=2.5,"Acceptable",IF(H37&gt;=1,"Below Target","Pause"))))</f>
        <v/>
      </c>
    </row>
    <row r="38" ht="18" customHeight="1" s="37">
      <c r="A38" s="60">
        <f>IF(B38&lt;&gt;"",ROW()-10,"")</f>
        <v/>
      </c>
      <c r="B38" s="61" t="n"/>
      <c r="C38" s="61" t="n"/>
      <c r="D38" s="62" t="n"/>
      <c r="E38" s="63" t="n"/>
      <c r="F38" s="63" t="n"/>
      <c r="G38" s="62" t="n"/>
      <c r="H38" s="64">
        <f>IFERROR(IF(B38="","",G38/D38),"")</f>
        <v/>
      </c>
      <c r="I38" s="65">
        <f>IFERROR(IF(B38="","",(G38-D38)/D38),"")</f>
        <v/>
      </c>
      <c r="J38" s="66">
        <f>IFERROR(IF(B38="","",E38/(E38/0.035)),"")</f>
        <v/>
      </c>
      <c r="K38" s="66">
        <f>IFERROR(IF(B38="","",F38/E38),"")</f>
        <v/>
      </c>
      <c r="L38" s="67">
        <f>IF(B38="","",IF(H38&gt;=4,"Strong — Scale",IF(H38&gt;=2.5,"Acceptable",IF(H38&gt;=1,"Below Target","Pause"))))</f>
        <v/>
      </c>
    </row>
    <row r="39" ht="18" customHeight="1" s="37">
      <c r="A39" s="52">
        <f>IF(B39&lt;&gt;"",ROW()-10,"")</f>
        <v/>
      </c>
      <c r="B39" s="53" t="n"/>
      <c r="C39" s="53" t="n"/>
      <c r="D39" s="54" t="n"/>
      <c r="E39" s="55" t="n"/>
      <c r="F39" s="55" t="n"/>
      <c r="G39" s="54" t="n"/>
      <c r="H39" s="56">
        <f>IFERROR(IF(B39="","",G39/D39),"")</f>
        <v/>
      </c>
      <c r="I39" s="57">
        <f>IFERROR(IF(B39="","",(G39-D39)/D39),"")</f>
        <v/>
      </c>
      <c r="J39" s="58">
        <f>IFERROR(IF(B39="","",E39/(E39/0.035)),"")</f>
        <v/>
      </c>
      <c r="K39" s="58">
        <f>IFERROR(IF(B39="","",F39/E39),"")</f>
        <v/>
      </c>
      <c r="L39" s="59">
        <f>IF(B39="","",IF(H39&gt;=4,"Strong — Scale",IF(H39&gt;=2.5,"Acceptable",IF(H39&gt;=1,"Below Target","Pause"))))</f>
        <v/>
      </c>
    </row>
    <row r="40" ht="18" customHeight="1" s="37">
      <c r="A40" s="60">
        <f>IF(B40&lt;&gt;"",ROW()-10,"")</f>
        <v/>
      </c>
      <c r="B40" s="61" t="n"/>
      <c r="C40" s="61" t="n"/>
      <c r="D40" s="62" t="n"/>
      <c r="E40" s="63" t="n"/>
      <c r="F40" s="63" t="n"/>
      <c r="G40" s="62" t="n"/>
      <c r="H40" s="64">
        <f>IFERROR(IF(B40="","",G40/D40),"")</f>
        <v/>
      </c>
      <c r="I40" s="65">
        <f>IFERROR(IF(B40="","",(G40-D40)/D40),"")</f>
        <v/>
      </c>
      <c r="J40" s="66">
        <f>IFERROR(IF(B40="","",E40/(E40/0.035)),"")</f>
        <v/>
      </c>
      <c r="K40" s="66">
        <f>IFERROR(IF(B40="","",F40/E40),"")</f>
        <v/>
      </c>
      <c r="L40" s="67">
        <f>IF(B40="","",IF(H40&gt;=4,"Strong — Scale",IF(H40&gt;=2.5,"Acceptable",IF(H40&gt;=1,"Below Target","Pause"))))</f>
        <v/>
      </c>
    </row>
    <row r="41" ht="18" customHeight="1" s="37">
      <c r="A41" s="52">
        <f>IF(B41&lt;&gt;"",ROW()-10,"")</f>
        <v/>
      </c>
      <c r="B41" s="53" t="n"/>
      <c r="C41" s="53" t="n"/>
      <c r="D41" s="54" t="n"/>
      <c r="E41" s="55" t="n"/>
      <c r="F41" s="55" t="n"/>
      <c r="G41" s="54" t="n"/>
      <c r="H41" s="56">
        <f>IFERROR(IF(B41="","",G41/D41),"")</f>
        <v/>
      </c>
      <c r="I41" s="57">
        <f>IFERROR(IF(B41="","",(G41-D41)/D41),"")</f>
        <v/>
      </c>
      <c r="J41" s="58">
        <f>IFERROR(IF(B41="","",E41/(E41/0.035)),"")</f>
        <v/>
      </c>
      <c r="K41" s="58">
        <f>IFERROR(IF(B41="","",F41/E41),"")</f>
        <v/>
      </c>
      <c r="L41" s="59">
        <f>IF(B41="","",IF(H41&gt;=4,"Strong — Scale",IF(H41&gt;=2.5,"Acceptable",IF(H41&gt;=1,"Below Target","Pause"))))</f>
        <v/>
      </c>
    </row>
    <row r="42" ht="18" customHeight="1" s="37">
      <c r="A42" s="60">
        <f>IF(B42&lt;&gt;"",ROW()-10,"")</f>
        <v/>
      </c>
      <c r="B42" s="61" t="n"/>
      <c r="C42" s="61" t="n"/>
      <c r="D42" s="62" t="n"/>
      <c r="E42" s="63" t="n"/>
      <c r="F42" s="63" t="n"/>
      <c r="G42" s="62" t="n"/>
      <c r="H42" s="64">
        <f>IFERROR(IF(B42="","",G42/D42),"")</f>
        <v/>
      </c>
      <c r="I42" s="65">
        <f>IFERROR(IF(B42="","",(G42-D42)/D42),"")</f>
        <v/>
      </c>
      <c r="J42" s="66">
        <f>IFERROR(IF(B42="","",E42/(E42/0.035)),"")</f>
        <v/>
      </c>
      <c r="K42" s="66">
        <f>IFERROR(IF(B42="","",F42/E42),"")</f>
        <v/>
      </c>
      <c r="L42" s="67">
        <f>IF(B42="","",IF(H42&gt;=4,"Strong — Scale",IF(H42&gt;=2.5,"Acceptable",IF(H42&gt;=1,"Below Target","Pause"))))</f>
        <v/>
      </c>
    </row>
    <row r="43" ht="18" customHeight="1" s="37">
      <c r="A43" s="52">
        <f>IF(B43&lt;&gt;"",ROW()-10,"")</f>
        <v/>
      </c>
      <c r="B43" s="53" t="n"/>
      <c r="C43" s="53" t="n"/>
      <c r="D43" s="54" t="n"/>
      <c r="E43" s="55" t="n"/>
      <c r="F43" s="55" t="n"/>
      <c r="G43" s="54" t="n"/>
      <c r="H43" s="56">
        <f>IFERROR(IF(B43="","",G43/D43),"")</f>
        <v/>
      </c>
      <c r="I43" s="57">
        <f>IFERROR(IF(B43="","",(G43-D43)/D43),"")</f>
        <v/>
      </c>
      <c r="J43" s="58">
        <f>IFERROR(IF(B43="","",E43/(E43/0.035)),"")</f>
        <v/>
      </c>
      <c r="K43" s="58">
        <f>IFERROR(IF(B43="","",F43/E43),"")</f>
        <v/>
      </c>
      <c r="L43" s="59">
        <f>IF(B43="","",IF(H43&gt;=4,"Strong — Scale",IF(H43&gt;=2.5,"Acceptable",IF(H43&gt;=1,"Below Target","Pause"))))</f>
        <v/>
      </c>
    </row>
    <row r="44" ht="18" customHeight="1" s="37">
      <c r="A44" s="60">
        <f>IF(B44&lt;&gt;"",ROW()-10,"")</f>
        <v/>
      </c>
      <c r="B44" s="61" t="n"/>
      <c r="C44" s="61" t="n"/>
      <c r="D44" s="62" t="n"/>
      <c r="E44" s="63" t="n"/>
      <c r="F44" s="63" t="n"/>
      <c r="G44" s="62" t="n"/>
      <c r="H44" s="64">
        <f>IFERROR(IF(B44="","",G44/D44),"")</f>
        <v/>
      </c>
      <c r="I44" s="65">
        <f>IFERROR(IF(B44="","",(G44-D44)/D44),"")</f>
        <v/>
      </c>
      <c r="J44" s="66">
        <f>IFERROR(IF(B44="","",E44/(E44/0.035)),"")</f>
        <v/>
      </c>
      <c r="K44" s="66">
        <f>IFERROR(IF(B44="","",F44/E44),"")</f>
        <v/>
      </c>
      <c r="L44" s="67">
        <f>IF(B44="","",IF(H44&gt;=4,"Strong — Scale",IF(H44&gt;=2.5,"Acceptable",IF(H44&gt;=1,"Below Target","Pause"))))</f>
        <v/>
      </c>
    </row>
    <row r="45" ht="18" customHeight="1" s="37">
      <c r="A45" s="52">
        <f>IF(B45&lt;&gt;"",ROW()-10,"")</f>
        <v/>
      </c>
      <c r="B45" s="53" t="n"/>
      <c r="C45" s="53" t="n"/>
      <c r="D45" s="54" t="n"/>
      <c r="E45" s="55" t="n"/>
      <c r="F45" s="55" t="n"/>
      <c r="G45" s="54" t="n"/>
      <c r="H45" s="56">
        <f>IFERROR(IF(B45="","",G45/D45),"")</f>
        <v/>
      </c>
      <c r="I45" s="57">
        <f>IFERROR(IF(B45="","",(G45-D45)/D45),"")</f>
        <v/>
      </c>
      <c r="J45" s="58">
        <f>IFERROR(IF(B45="","",E45/(E45/0.035)),"")</f>
        <v/>
      </c>
      <c r="K45" s="58">
        <f>IFERROR(IF(B45="","",F45/E45),"")</f>
        <v/>
      </c>
      <c r="L45" s="59">
        <f>IF(B45="","",IF(H45&gt;=4,"Strong — Scale",IF(H45&gt;=2.5,"Acceptable",IF(H45&gt;=1,"Below Target","Pause"))))</f>
        <v/>
      </c>
    </row>
    <row r="46" ht="18" customHeight="1" s="37">
      <c r="A46" s="60">
        <f>IF(B46&lt;&gt;"",ROW()-10,"")</f>
        <v/>
      </c>
      <c r="B46" s="61" t="n"/>
      <c r="C46" s="61" t="n"/>
      <c r="D46" s="62" t="n"/>
      <c r="E46" s="63" t="n"/>
      <c r="F46" s="63" t="n"/>
      <c r="G46" s="62" t="n"/>
      <c r="H46" s="64">
        <f>IFERROR(IF(B46="","",G46/D46),"")</f>
        <v/>
      </c>
      <c r="I46" s="65">
        <f>IFERROR(IF(B46="","",(G46-D46)/D46),"")</f>
        <v/>
      </c>
      <c r="J46" s="66">
        <f>IFERROR(IF(B46="","",E46/(E46/0.035)),"")</f>
        <v/>
      </c>
      <c r="K46" s="66">
        <f>IFERROR(IF(B46="","",F46/E46),"")</f>
        <v/>
      </c>
      <c r="L46" s="67">
        <f>IF(B46="","",IF(H46&gt;=4,"Strong — Scale",IF(H46&gt;=2.5,"Acceptable",IF(H46&gt;=1,"Below Target","Pause"))))</f>
        <v/>
      </c>
    </row>
    <row r="47" ht="18" customHeight="1" s="37">
      <c r="A47" s="52">
        <f>IF(B47&lt;&gt;"",ROW()-10,"")</f>
        <v/>
      </c>
      <c r="B47" s="53" t="n"/>
      <c r="C47" s="53" t="n"/>
      <c r="D47" s="54" t="n"/>
      <c r="E47" s="55" t="n"/>
      <c r="F47" s="55" t="n"/>
      <c r="G47" s="54" t="n"/>
      <c r="H47" s="56">
        <f>IFERROR(IF(B47="","",G47/D47),"")</f>
        <v/>
      </c>
      <c r="I47" s="57">
        <f>IFERROR(IF(B47="","",(G47-D47)/D47),"")</f>
        <v/>
      </c>
      <c r="J47" s="58">
        <f>IFERROR(IF(B47="","",E47/(E47/0.035)),"")</f>
        <v/>
      </c>
      <c r="K47" s="58">
        <f>IFERROR(IF(B47="","",F47/E47),"")</f>
        <v/>
      </c>
      <c r="L47" s="59">
        <f>IF(B47="","",IF(H47&gt;=4,"Strong — Scale",IF(H47&gt;=2.5,"Acceptable",IF(H47&gt;=1,"Below Target","Pause"))))</f>
        <v/>
      </c>
    </row>
    <row r="48" ht="18" customHeight="1" s="37">
      <c r="A48" s="60">
        <f>IF(B48&lt;&gt;"",ROW()-10,"")</f>
        <v/>
      </c>
      <c r="B48" s="61" t="n"/>
      <c r="C48" s="61" t="n"/>
      <c r="D48" s="62" t="n"/>
      <c r="E48" s="63" t="n"/>
      <c r="F48" s="63" t="n"/>
      <c r="G48" s="62" t="n"/>
      <c r="H48" s="64">
        <f>IFERROR(IF(B48="","",G48/D48),"")</f>
        <v/>
      </c>
      <c r="I48" s="65">
        <f>IFERROR(IF(B48="","",(G48-D48)/D48),"")</f>
        <v/>
      </c>
      <c r="J48" s="66">
        <f>IFERROR(IF(B48="","",E48/(E48/0.035)),"")</f>
        <v/>
      </c>
      <c r="K48" s="66">
        <f>IFERROR(IF(B48="","",F48/E48),"")</f>
        <v/>
      </c>
      <c r="L48" s="67">
        <f>IF(B48="","",IF(H48&gt;=4,"Strong — Scale",IF(H48&gt;=2.5,"Acceptable",IF(H48&gt;=1,"Below Target","Pause"))))</f>
        <v/>
      </c>
    </row>
    <row r="49" ht="18" customHeight="1" s="37">
      <c r="A49" s="52">
        <f>IF(B49&lt;&gt;"",ROW()-10,"")</f>
        <v/>
      </c>
      <c r="B49" s="53" t="n"/>
      <c r="C49" s="53" t="n"/>
      <c r="D49" s="54" t="n"/>
      <c r="E49" s="55" t="n"/>
      <c r="F49" s="55" t="n"/>
      <c r="G49" s="54" t="n"/>
      <c r="H49" s="56">
        <f>IFERROR(IF(B49="","",G49/D49),"")</f>
        <v/>
      </c>
      <c r="I49" s="57">
        <f>IFERROR(IF(B49="","",(G49-D49)/D49),"")</f>
        <v/>
      </c>
      <c r="J49" s="58">
        <f>IFERROR(IF(B49="","",E49/(E49/0.035)),"")</f>
        <v/>
      </c>
      <c r="K49" s="58">
        <f>IFERROR(IF(B49="","",F49/E49),"")</f>
        <v/>
      </c>
      <c r="L49" s="59">
        <f>IF(B49="","",IF(H49&gt;=4,"Strong — Scale",IF(H49&gt;=2.5,"Acceptable",IF(H49&gt;=1,"Below Target","Pause"))))</f>
        <v/>
      </c>
    </row>
    <row r="50" ht="18" customHeight="1" s="37">
      <c r="A50" s="60">
        <f>IF(B50&lt;&gt;"",ROW()-10,"")</f>
        <v/>
      </c>
      <c r="B50" s="61" t="n"/>
      <c r="C50" s="61" t="n"/>
      <c r="D50" s="62" t="n"/>
      <c r="E50" s="63" t="n"/>
      <c r="F50" s="63" t="n"/>
      <c r="G50" s="62" t="n"/>
      <c r="H50" s="64">
        <f>IFERROR(IF(B50="","",G50/D50),"")</f>
        <v/>
      </c>
      <c r="I50" s="65">
        <f>IFERROR(IF(B50="","",(G50-D50)/D50),"")</f>
        <v/>
      </c>
      <c r="J50" s="66">
        <f>IFERROR(IF(B50="","",E50/(E50/0.035)),"")</f>
        <v/>
      </c>
      <c r="K50" s="66">
        <f>IFERROR(IF(B50="","",F50/E50),"")</f>
        <v/>
      </c>
      <c r="L50" s="67">
        <f>IF(B50="","",IF(H50&gt;=4,"Strong — Scale",IF(H50&gt;=2.5,"Acceptable",IF(H50&gt;=1,"Below Target","Pause"))))</f>
        <v/>
      </c>
    </row>
    <row r="51" ht="18" customHeight="1" s="37">
      <c r="A51" s="52">
        <f>IF(B51&lt;&gt;"",ROW()-10,"")</f>
        <v/>
      </c>
      <c r="B51" s="53" t="n"/>
      <c r="C51" s="53" t="n"/>
      <c r="D51" s="54" t="n"/>
      <c r="E51" s="55" t="n"/>
      <c r="F51" s="55" t="n"/>
      <c r="G51" s="54" t="n"/>
      <c r="H51" s="56">
        <f>IFERROR(IF(B51="","",G51/D51),"")</f>
        <v/>
      </c>
      <c r="I51" s="57">
        <f>IFERROR(IF(B51="","",(G51-D51)/D51),"")</f>
        <v/>
      </c>
      <c r="J51" s="58">
        <f>IFERROR(IF(B51="","",E51/(E51/0.035)),"")</f>
        <v/>
      </c>
      <c r="K51" s="58">
        <f>IFERROR(IF(B51="","",F51/E51),"")</f>
        <v/>
      </c>
      <c r="L51" s="59">
        <f>IF(B51="","",IF(H51&gt;=4,"Strong — Scale",IF(H51&gt;=2.5,"Acceptable",IF(H51&gt;=1,"Below Target","Pause"))))</f>
        <v/>
      </c>
    </row>
    <row r="52" ht="18" customHeight="1" s="37">
      <c r="A52" s="60">
        <f>IF(B52&lt;&gt;"",ROW()-10,"")</f>
        <v/>
      </c>
      <c r="B52" s="61" t="n"/>
      <c r="C52" s="61" t="n"/>
      <c r="D52" s="62" t="n"/>
      <c r="E52" s="63" t="n"/>
      <c r="F52" s="63" t="n"/>
      <c r="G52" s="62" t="n"/>
      <c r="H52" s="64">
        <f>IFERROR(IF(B52="","",G52/D52),"")</f>
        <v/>
      </c>
      <c r="I52" s="65">
        <f>IFERROR(IF(B52="","",(G52-D52)/D52),"")</f>
        <v/>
      </c>
      <c r="J52" s="66">
        <f>IFERROR(IF(B52="","",E52/(E52/0.035)),"")</f>
        <v/>
      </c>
      <c r="K52" s="66">
        <f>IFERROR(IF(B52="","",F52/E52),"")</f>
        <v/>
      </c>
      <c r="L52" s="67">
        <f>IF(B52="","",IF(H52&gt;=4,"Strong — Scale",IF(H52&gt;=2.5,"Acceptable",IF(H52&gt;=1,"Below Target","Pause"))))</f>
        <v/>
      </c>
    </row>
    <row r="53" ht="18" customHeight="1" s="37">
      <c r="A53" s="52">
        <f>IF(B53&lt;&gt;"",ROW()-10,"")</f>
        <v/>
      </c>
      <c r="B53" s="53" t="n"/>
      <c r="C53" s="53" t="n"/>
      <c r="D53" s="54" t="n"/>
      <c r="E53" s="55" t="n"/>
      <c r="F53" s="55" t="n"/>
      <c r="G53" s="54" t="n"/>
      <c r="H53" s="56">
        <f>IFERROR(IF(B53="","",G53/D53),"")</f>
        <v/>
      </c>
      <c r="I53" s="57">
        <f>IFERROR(IF(B53="","",(G53-D53)/D53),"")</f>
        <v/>
      </c>
      <c r="J53" s="58">
        <f>IFERROR(IF(B53="","",E53/(E53/0.035)),"")</f>
        <v/>
      </c>
      <c r="K53" s="58">
        <f>IFERROR(IF(B53="","",F53/E53),"")</f>
        <v/>
      </c>
      <c r="L53" s="59">
        <f>IF(B53="","",IF(H53&gt;=4,"Strong — Scale",IF(H53&gt;=2.5,"Acceptable",IF(H53&gt;=1,"Below Target","Pause"))))</f>
        <v/>
      </c>
    </row>
    <row r="54" ht="18" customHeight="1" s="37">
      <c r="A54" s="60">
        <f>IF(B54&lt;&gt;"",ROW()-10,"")</f>
        <v/>
      </c>
      <c r="B54" s="61" t="n"/>
      <c r="C54" s="61" t="n"/>
      <c r="D54" s="62" t="n"/>
      <c r="E54" s="63" t="n"/>
      <c r="F54" s="63" t="n"/>
      <c r="G54" s="62" t="n"/>
      <c r="H54" s="64">
        <f>IFERROR(IF(B54="","",G54/D54),"")</f>
        <v/>
      </c>
      <c r="I54" s="65">
        <f>IFERROR(IF(B54="","",(G54-D54)/D54),"")</f>
        <v/>
      </c>
      <c r="J54" s="66">
        <f>IFERROR(IF(B54="","",E54/(E54/0.035)),"")</f>
        <v/>
      </c>
      <c r="K54" s="66">
        <f>IFERROR(IF(B54="","",F54/E54),"")</f>
        <v/>
      </c>
      <c r="L54" s="67">
        <f>IF(B54="","",IF(H54&gt;=4,"Strong — Scale",IF(H54&gt;=2.5,"Acceptable",IF(H54&gt;=1,"Below Target","Pause"))))</f>
        <v/>
      </c>
    </row>
    <row r="55" ht="18" customHeight="1" s="37">
      <c r="A55" s="52">
        <f>IF(B55&lt;&gt;"",ROW()-10,"")</f>
        <v/>
      </c>
      <c r="B55" s="53" t="n"/>
      <c r="C55" s="53" t="n"/>
      <c r="D55" s="54" t="n"/>
      <c r="E55" s="55" t="n"/>
      <c r="F55" s="55" t="n"/>
      <c r="G55" s="54" t="n"/>
      <c r="H55" s="56">
        <f>IFERROR(IF(B55="","",G55/D55),"")</f>
        <v/>
      </c>
      <c r="I55" s="57">
        <f>IFERROR(IF(B55="","",(G55-D55)/D55),"")</f>
        <v/>
      </c>
      <c r="J55" s="58">
        <f>IFERROR(IF(B55="","",E55/(E55/0.035)),"")</f>
        <v/>
      </c>
      <c r="K55" s="58">
        <f>IFERROR(IF(B55="","",F55/E55),"")</f>
        <v/>
      </c>
      <c r="L55" s="59">
        <f>IF(B55="","",IF(H55&gt;=4,"Strong — Scale",IF(H55&gt;=2.5,"Acceptable",IF(H55&gt;=1,"Below Target","Pause"))))</f>
        <v/>
      </c>
    </row>
    <row r="56" ht="18" customHeight="1" s="37">
      <c r="A56" s="60">
        <f>IF(B56&lt;&gt;"",ROW()-10,"")</f>
        <v/>
      </c>
      <c r="B56" s="61" t="n"/>
      <c r="C56" s="61" t="n"/>
      <c r="D56" s="62" t="n"/>
      <c r="E56" s="63" t="n"/>
      <c r="F56" s="63" t="n"/>
      <c r="G56" s="62" t="n"/>
      <c r="H56" s="64">
        <f>IFERROR(IF(B56="","",G56/D56),"")</f>
        <v/>
      </c>
      <c r="I56" s="65">
        <f>IFERROR(IF(B56="","",(G56-D56)/D56),"")</f>
        <v/>
      </c>
      <c r="J56" s="66">
        <f>IFERROR(IF(B56="","",E56/(E56/0.035)),"")</f>
        <v/>
      </c>
      <c r="K56" s="66">
        <f>IFERROR(IF(B56="","",F56/E56),"")</f>
        <v/>
      </c>
      <c r="L56" s="67">
        <f>IF(B56="","",IF(H56&gt;=4,"Strong — Scale",IF(H56&gt;=2.5,"Acceptable",IF(H56&gt;=1,"Below Target","Pause"))))</f>
        <v/>
      </c>
    </row>
    <row r="57" ht="18" customHeight="1" s="37">
      <c r="A57" s="52">
        <f>IF(B57&lt;&gt;"",ROW()-10,"")</f>
        <v/>
      </c>
      <c r="B57" s="53" t="n"/>
      <c r="C57" s="53" t="n"/>
      <c r="D57" s="54" t="n"/>
      <c r="E57" s="55" t="n"/>
      <c r="F57" s="55" t="n"/>
      <c r="G57" s="54" t="n"/>
      <c r="H57" s="56">
        <f>IFERROR(IF(B57="","",G57/D57),"")</f>
        <v/>
      </c>
      <c r="I57" s="57">
        <f>IFERROR(IF(B57="","",(G57-D57)/D57),"")</f>
        <v/>
      </c>
      <c r="J57" s="58">
        <f>IFERROR(IF(B57="","",E57/(E57/0.035)),"")</f>
        <v/>
      </c>
      <c r="K57" s="58">
        <f>IFERROR(IF(B57="","",F57/E57),"")</f>
        <v/>
      </c>
      <c r="L57" s="59">
        <f>IF(B57="","",IF(H57&gt;=4,"Strong — Scale",IF(H57&gt;=2.5,"Acceptable",IF(H57&gt;=1,"Below Target","Pause"))))</f>
        <v/>
      </c>
    </row>
    <row r="58" ht="18" customHeight="1" s="37">
      <c r="A58" s="60">
        <f>IF(B58&lt;&gt;"",ROW()-10,"")</f>
        <v/>
      </c>
      <c r="B58" s="61" t="n"/>
      <c r="C58" s="61" t="n"/>
      <c r="D58" s="62" t="n"/>
      <c r="E58" s="63" t="n"/>
      <c r="F58" s="63" t="n"/>
      <c r="G58" s="62" t="n"/>
      <c r="H58" s="64">
        <f>IFERROR(IF(B58="","",G58/D58),"")</f>
        <v/>
      </c>
      <c r="I58" s="65">
        <f>IFERROR(IF(B58="","",(G58-D58)/D58),"")</f>
        <v/>
      </c>
      <c r="J58" s="66">
        <f>IFERROR(IF(B58="","",E58/(E58/0.035)),"")</f>
        <v/>
      </c>
      <c r="K58" s="66">
        <f>IFERROR(IF(B58="","",F58/E58),"")</f>
        <v/>
      </c>
      <c r="L58" s="67">
        <f>IF(B58="","",IF(H58&gt;=4,"Strong — Scale",IF(H58&gt;=2.5,"Acceptable",IF(H58&gt;=1,"Below Target","Pause"))))</f>
        <v/>
      </c>
    </row>
    <row r="59" ht="18" customHeight="1" s="37">
      <c r="A59" s="52">
        <f>IF(B59&lt;&gt;"",ROW()-10,"")</f>
        <v/>
      </c>
      <c r="B59" s="53" t="n"/>
      <c r="C59" s="53" t="n"/>
      <c r="D59" s="54" t="n"/>
      <c r="E59" s="55" t="n"/>
      <c r="F59" s="55" t="n"/>
      <c r="G59" s="54" t="n"/>
      <c r="H59" s="56">
        <f>IFERROR(IF(B59="","",G59/D59),"")</f>
        <v/>
      </c>
      <c r="I59" s="57">
        <f>IFERROR(IF(B59="","",(G59-D59)/D59),"")</f>
        <v/>
      </c>
      <c r="J59" s="58">
        <f>IFERROR(IF(B59="","",E59/(E59/0.035)),"")</f>
        <v/>
      </c>
      <c r="K59" s="58">
        <f>IFERROR(IF(B59="","",F59/E59),"")</f>
        <v/>
      </c>
      <c r="L59" s="59">
        <f>IF(B59="","",IF(H59&gt;=4,"Strong — Scale",IF(H59&gt;=2.5,"Acceptable",IF(H59&gt;=1,"Below Target","Pause"))))</f>
        <v/>
      </c>
    </row>
    <row r="60" ht="18" customHeight="1" s="37">
      <c r="A60" s="60">
        <f>IF(B60&lt;&gt;"",ROW()-10,"")</f>
        <v/>
      </c>
      <c r="B60" s="61" t="n"/>
      <c r="C60" s="61" t="n"/>
      <c r="D60" s="62" t="n"/>
      <c r="E60" s="63" t="n"/>
      <c r="F60" s="63" t="n"/>
      <c r="G60" s="62" t="n"/>
      <c r="H60" s="64">
        <f>IFERROR(IF(B60="","",G60/D60),"")</f>
        <v/>
      </c>
      <c r="I60" s="65">
        <f>IFERROR(IF(B60="","",(G60-D60)/D60),"")</f>
        <v/>
      </c>
      <c r="J60" s="66">
        <f>IFERROR(IF(B60="","",E60/(E60/0.035)),"")</f>
        <v/>
      </c>
      <c r="K60" s="66">
        <f>IFERROR(IF(B60="","",F60/E60),"")</f>
        <v/>
      </c>
      <c r="L60" s="67">
        <f>IF(B60="","",IF(H60&gt;=4,"Strong — Scale",IF(H60&gt;=2.5,"Acceptable",IF(H60&gt;=1,"Below Target","Pause"))))</f>
        <v/>
      </c>
    </row>
    <row r="61" ht="18" customHeight="1" s="37">
      <c r="A61" s="52">
        <f>IF(B61&lt;&gt;"",ROW()-10,"")</f>
        <v/>
      </c>
      <c r="B61" s="53" t="n"/>
      <c r="C61" s="53" t="n"/>
      <c r="D61" s="54" t="n"/>
      <c r="E61" s="55" t="n"/>
      <c r="F61" s="55" t="n"/>
      <c r="G61" s="54" t="n"/>
      <c r="H61" s="56">
        <f>IFERROR(IF(B61="","",G61/D61),"")</f>
        <v/>
      </c>
      <c r="I61" s="57">
        <f>IFERROR(IF(B61="","",(G61-D61)/D61),"")</f>
        <v/>
      </c>
      <c r="J61" s="58">
        <f>IFERROR(IF(B61="","",E61/(E61/0.035)),"")</f>
        <v/>
      </c>
      <c r="K61" s="58">
        <f>IFERROR(IF(B61="","",F61/E61),"")</f>
        <v/>
      </c>
      <c r="L61" s="59">
        <f>IF(B61="","",IF(H61&gt;=4,"Strong — Scale",IF(H61&gt;=2.5,"Acceptable",IF(H61&gt;=1,"Below Target","Pause"))))</f>
        <v/>
      </c>
    </row>
    <row r="62" ht="18" customHeight="1" s="37">
      <c r="A62" s="60">
        <f>IF(B62&lt;&gt;"",ROW()-10,"")</f>
        <v/>
      </c>
      <c r="B62" s="61" t="n"/>
      <c r="C62" s="61" t="n"/>
      <c r="D62" s="62" t="n"/>
      <c r="E62" s="63" t="n"/>
      <c r="F62" s="63" t="n"/>
      <c r="G62" s="62" t="n"/>
      <c r="H62" s="64">
        <f>IFERROR(IF(B62="","",G62/D62),"")</f>
        <v/>
      </c>
      <c r="I62" s="65">
        <f>IFERROR(IF(B62="","",(G62-D62)/D62),"")</f>
        <v/>
      </c>
      <c r="J62" s="66">
        <f>IFERROR(IF(B62="","",E62/(E62/0.035)),"")</f>
        <v/>
      </c>
      <c r="K62" s="66">
        <f>IFERROR(IF(B62="","",F62/E62),"")</f>
        <v/>
      </c>
      <c r="L62" s="67">
        <f>IF(B62="","",IF(H62&gt;=4,"Strong — Scale",IF(H62&gt;=2.5,"Acceptable",IF(H62&gt;=1,"Below Target","Pause"))))</f>
        <v/>
      </c>
    </row>
    <row r="63" ht="18" customHeight="1" s="37">
      <c r="A63" s="52">
        <f>IF(B63&lt;&gt;"",ROW()-10,"")</f>
        <v/>
      </c>
      <c r="B63" s="53" t="n"/>
      <c r="C63" s="53" t="n"/>
      <c r="D63" s="54" t="n"/>
      <c r="E63" s="55" t="n"/>
      <c r="F63" s="55" t="n"/>
      <c r="G63" s="54" t="n"/>
      <c r="H63" s="56">
        <f>IFERROR(IF(B63="","",G63/D63),"")</f>
        <v/>
      </c>
      <c r="I63" s="57">
        <f>IFERROR(IF(B63="","",(G63-D63)/D63),"")</f>
        <v/>
      </c>
      <c r="J63" s="58">
        <f>IFERROR(IF(B63="","",E63/(E63/0.035)),"")</f>
        <v/>
      </c>
      <c r="K63" s="58">
        <f>IFERROR(IF(B63="","",F63/E63),"")</f>
        <v/>
      </c>
      <c r="L63" s="59">
        <f>IF(B63="","",IF(H63&gt;=4,"Strong — Scale",IF(H63&gt;=2.5,"Acceptable",IF(H63&gt;=1,"Below Target","Pause"))))</f>
        <v/>
      </c>
    </row>
    <row r="64" ht="18" customHeight="1" s="37">
      <c r="A64" s="60">
        <f>IF(B64&lt;&gt;"",ROW()-10,"")</f>
        <v/>
      </c>
      <c r="B64" s="61" t="n"/>
      <c r="C64" s="61" t="n"/>
      <c r="D64" s="62" t="n"/>
      <c r="E64" s="63" t="n"/>
      <c r="F64" s="63" t="n"/>
      <c r="G64" s="62" t="n"/>
      <c r="H64" s="64">
        <f>IFERROR(IF(B64="","",G64/D64),"")</f>
        <v/>
      </c>
      <c r="I64" s="65">
        <f>IFERROR(IF(B64="","",(G64-D64)/D64),"")</f>
        <v/>
      </c>
      <c r="J64" s="66">
        <f>IFERROR(IF(B64="","",E64/(E64/0.035)),"")</f>
        <v/>
      </c>
      <c r="K64" s="66">
        <f>IFERROR(IF(B64="","",F64/E64),"")</f>
        <v/>
      </c>
      <c r="L64" s="67">
        <f>IF(B64="","",IF(H64&gt;=4,"Strong — Scale",IF(H64&gt;=2.5,"Acceptable",IF(H64&gt;=1,"Below Target","Pause"))))</f>
        <v/>
      </c>
    </row>
    <row r="65" ht="18" customHeight="1" s="37">
      <c r="A65" s="52">
        <f>IF(B65&lt;&gt;"",ROW()-10,"")</f>
        <v/>
      </c>
      <c r="B65" s="53" t="n"/>
      <c r="C65" s="53" t="n"/>
      <c r="D65" s="54" t="n"/>
      <c r="E65" s="55" t="n"/>
      <c r="F65" s="55" t="n"/>
      <c r="G65" s="54" t="n"/>
      <c r="H65" s="56">
        <f>IFERROR(IF(B65="","",G65/D65),"")</f>
        <v/>
      </c>
      <c r="I65" s="57">
        <f>IFERROR(IF(B65="","",(G65-D65)/D65),"")</f>
        <v/>
      </c>
      <c r="J65" s="58">
        <f>IFERROR(IF(B65="","",E65/(E65/0.035)),"")</f>
        <v/>
      </c>
      <c r="K65" s="58">
        <f>IFERROR(IF(B65="","",F65/E65),"")</f>
        <v/>
      </c>
      <c r="L65" s="59">
        <f>IF(B65="","",IF(H65&gt;=4,"Strong — Scale",IF(H65&gt;=2.5,"Acceptable",IF(H65&gt;=1,"Below Target","Pause"))))</f>
        <v/>
      </c>
    </row>
    <row r="66" ht="18" customHeight="1" s="37">
      <c r="A66" s="60">
        <f>IF(B66&lt;&gt;"",ROW()-10,"")</f>
        <v/>
      </c>
      <c r="B66" s="61" t="n"/>
      <c r="C66" s="61" t="n"/>
      <c r="D66" s="62" t="n"/>
      <c r="E66" s="63" t="n"/>
      <c r="F66" s="63" t="n"/>
      <c r="G66" s="62" t="n"/>
      <c r="H66" s="64">
        <f>IFERROR(IF(B66="","",G66/D66),"")</f>
        <v/>
      </c>
      <c r="I66" s="65">
        <f>IFERROR(IF(B66="","",(G66-D66)/D66),"")</f>
        <v/>
      </c>
      <c r="J66" s="66">
        <f>IFERROR(IF(B66="","",E66/(E66/0.035)),"")</f>
        <v/>
      </c>
      <c r="K66" s="66">
        <f>IFERROR(IF(B66="","",F66/E66),"")</f>
        <v/>
      </c>
      <c r="L66" s="67">
        <f>IF(B66="","",IF(H66&gt;=4,"Strong — Scale",IF(H66&gt;=2.5,"Acceptable",IF(H66&gt;=1,"Below Target","Pause"))))</f>
        <v/>
      </c>
    </row>
    <row r="67" ht="18" customHeight="1" s="37">
      <c r="A67" s="52">
        <f>IF(B67&lt;&gt;"",ROW()-10,"")</f>
        <v/>
      </c>
      <c r="B67" s="53" t="n"/>
      <c r="C67" s="53" t="n"/>
      <c r="D67" s="54" t="n"/>
      <c r="E67" s="55" t="n"/>
      <c r="F67" s="55" t="n"/>
      <c r="G67" s="54" t="n"/>
      <c r="H67" s="56">
        <f>IFERROR(IF(B67="","",G67/D67),"")</f>
        <v/>
      </c>
      <c r="I67" s="57">
        <f>IFERROR(IF(B67="","",(G67-D67)/D67),"")</f>
        <v/>
      </c>
      <c r="J67" s="58">
        <f>IFERROR(IF(B67="","",E67/(E67/0.035)),"")</f>
        <v/>
      </c>
      <c r="K67" s="58">
        <f>IFERROR(IF(B67="","",F67/E67),"")</f>
        <v/>
      </c>
      <c r="L67" s="59">
        <f>IF(B67="","",IF(H67&gt;=4,"Strong — Scale",IF(H67&gt;=2.5,"Acceptable",IF(H67&gt;=1,"Below Target","Pause"))))</f>
        <v/>
      </c>
    </row>
    <row r="68" ht="18" customHeight="1" s="37">
      <c r="A68" s="60">
        <f>IF(B68&lt;&gt;"",ROW()-10,"")</f>
        <v/>
      </c>
      <c r="B68" s="61" t="n"/>
      <c r="C68" s="61" t="n"/>
      <c r="D68" s="62" t="n"/>
      <c r="E68" s="63" t="n"/>
      <c r="F68" s="63" t="n"/>
      <c r="G68" s="62" t="n"/>
      <c r="H68" s="64">
        <f>IFERROR(IF(B68="","",G68/D68),"")</f>
        <v/>
      </c>
      <c r="I68" s="65">
        <f>IFERROR(IF(B68="","",(G68-D68)/D68),"")</f>
        <v/>
      </c>
      <c r="J68" s="66">
        <f>IFERROR(IF(B68="","",E68/(E68/0.035)),"")</f>
        <v/>
      </c>
      <c r="K68" s="66">
        <f>IFERROR(IF(B68="","",F68/E68),"")</f>
        <v/>
      </c>
      <c r="L68" s="67">
        <f>IF(B68="","",IF(H68&gt;=4,"Strong — Scale",IF(H68&gt;=2.5,"Acceptable",IF(H68&gt;=1,"Below Target","Pause"))))</f>
        <v/>
      </c>
    </row>
    <row r="69" ht="18" customHeight="1" s="37">
      <c r="A69" s="52">
        <f>IF(B69&lt;&gt;"",ROW()-10,"")</f>
        <v/>
      </c>
      <c r="B69" s="53" t="n"/>
      <c r="C69" s="53" t="n"/>
      <c r="D69" s="54" t="n"/>
      <c r="E69" s="55" t="n"/>
      <c r="F69" s="55" t="n"/>
      <c r="G69" s="54" t="n"/>
      <c r="H69" s="56">
        <f>IFERROR(IF(B69="","",G69/D69),"")</f>
        <v/>
      </c>
      <c r="I69" s="57">
        <f>IFERROR(IF(B69="","",(G69-D69)/D69),"")</f>
        <v/>
      </c>
      <c r="J69" s="58">
        <f>IFERROR(IF(B69="","",E69/(E69/0.035)),"")</f>
        <v/>
      </c>
      <c r="K69" s="58">
        <f>IFERROR(IF(B69="","",F69/E69),"")</f>
        <v/>
      </c>
      <c r="L69" s="59">
        <f>IF(B69="","",IF(H69&gt;=4,"Strong — Scale",IF(H69&gt;=2.5,"Acceptable",IF(H69&gt;=1,"Below Target","Pause"))))</f>
        <v/>
      </c>
    </row>
    <row r="70" ht="18" customHeight="1" s="37">
      <c r="A70" s="60">
        <f>IF(B70&lt;&gt;"",ROW()-10,"")</f>
        <v/>
      </c>
      <c r="B70" s="61" t="n"/>
      <c r="C70" s="61" t="n"/>
      <c r="D70" s="62" t="n"/>
      <c r="E70" s="63" t="n"/>
      <c r="F70" s="63" t="n"/>
      <c r="G70" s="62" t="n"/>
      <c r="H70" s="64">
        <f>IFERROR(IF(B70="","",G70/D70),"")</f>
        <v/>
      </c>
      <c r="I70" s="65">
        <f>IFERROR(IF(B70="","",(G70-D70)/D70),"")</f>
        <v/>
      </c>
      <c r="J70" s="66">
        <f>IFERROR(IF(B70="","",E70/(E70/0.035)),"")</f>
        <v/>
      </c>
      <c r="K70" s="66">
        <f>IFERROR(IF(B70="","",F70/E70),"")</f>
        <v/>
      </c>
      <c r="L70" s="67">
        <f>IF(B70="","",IF(H70&gt;=4,"Strong — Scale",IF(H70&gt;=2.5,"Acceptable",IF(H70&gt;=1,"Below Target","Pause"))))</f>
        <v/>
      </c>
    </row>
    <row r="71" ht="18" customHeight="1" s="37">
      <c r="A71" s="52">
        <f>IF(B71&lt;&gt;"",ROW()-10,"")</f>
        <v/>
      </c>
      <c r="B71" s="53" t="n"/>
      <c r="C71" s="53" t="n"/>
      <c r="D71" s="54" t="n"/>
      <c r="E71" s="55" t="n"/>
      <c r="F71" s="55" t="n"/>
      <c r="G71" s="54" t="n"/>
      <c r="H71" s="56">
        <f>IFERROR(IF(B71="","",G71/D71),"")</f>
        <v/>
      </c>
      <c r="I71" s="57">
        <f>IFERROR(IF(B71="","",(G71-D71)/D71),"")</f>
        <v/>
      </c>
      <c r="J71" s="58">
        <f>IFERROR(IF(B71="","",E71/(E71/0.035)),"")</f>
        <v/>
      </c>
      <c r="K71" s="58">
        <f>IFERROR(IF(B71="","",F71/E71),"")</f>
        <v/>
      </c>
      <c r="L71" s="59">
        <f>IF(B71="","",IF(H71&gt;=4,"Strong — Scale",IF(H71&gt;=2.5,"Acceptable",IF(H71&gt;=1,"Below Target","Pause"))))</f>
        <v/>
      </c>
    </row>
    <row r="72" ht="18" customHeight="1" s="37">
      <c r="A72" s="60">
        <f>IF(B72&lt;&gt;"",ROW()-10,"")</f>
        <v/>
      </c>
      <c r="B72" s="61" t="n"/>
      <c r="C72" s="61" t="n"/>
      <c r="D72" s="62" t="n"/>
      <c r="E72" s="63" t="n"/>
      <c r="F72" s="63" t="n"/>
      <c r="G72" s="62" t="n"/>
      <c r="H72" s="64">
        <f>IFERROR(IF(B72="","",G72/D72),"")</f>
        <v/>
      </c>
      <c r="I72" s="65">
        <f>IFERROR(IF(B72="","",(G72-D72)/D72),"")</f>
        <v/>
      </c>
      <c r="J72" s="66">
        <f>IFERROR(IF(B72="","",E72/(E72/0.035)),"")</f>
        <v/>
      </c>
      <c r="K72" s="66">
        <f>IFERROR(IF(B72="","",F72/E72),"")</f>
        <v/>
      </c>
      <c r="L72" s="67">
        <f>IF(B72="","",IF(H72&gt;=4,"Strong — Scale",IF(H72&gt;=2.5,"Acceptable",IF(H72&gt;=1,"Below Target","Pause"))))</f>
        <v/>
      </c>
    </row>
    <row r="73" ht="18" customHeight="1" s="37">
      <c r="A73" s="52">
        <f>IF(B73&lt;&gt;"",ROW()-10,"")</f>
        <v/>
      </c>
      <c r="B73" s="53" t="n"/>
      <c r="C73" s="53" t="n"/>
      <c r="D73" s="54" t="n"/>
      <c r="E73" s="55" t="n"/>
      <c r="F73" s="55" t="n"/>
      <c r="G73" s="54" t="n"/>
      <c r="H73" s="56">
        <f>IFERROR(IF(B73="","",G73/D73),"")</f>
        <v/>
      </c>
      <c r="I73" s="57">
        <f>IFERROR(IF(B73="","",(G73-D73)/D73),"")</f>
        <v/>
      </c>
      <c r="J73" s="58">
        <f>IFERROR(IF(B73="","",E73/(E73/0.035)),"")</f>
        <v/>
      </c>
      <c r="K73" s="58">
        <f>IFERROR(IF(B73="","",F73/E73),"")</f>
        <v/>
      </c>
      <c r="L73" s="59">
        <f>IF(B73="","",IF(H73&gt;=4,"Strong — Scale",IF(H73&gt;=2.5,"Acceptable",IF(H73&gt;=1,"Below Target","Pause"))))</f>
        <v/>
      </c>
    </row>
    <row r="74" ht="18" customHeight="1" s="37">
      <c r="A74" s="60">
        <f>IF(B74&lt;&gt;"",ROW()-10,"")</f>
        <v/>
      </c>
      <c r="B74" s="61" t="n"/>
      <c r="C74" s="61" t="n"/>
      <c r="D74" s="62" t="n"/>
      <c r="E74" s="63" t="n"/>
      <c r="F74" s="63" t="n"/>
      <c r="G74" s="62" t="n"/>
      <c r="H74" s="64">
        <f>IFERROR(IF(B74="","",G74/D74),"")</f>
        <v/>
      </c>
      <c r="I74" s="65">
        <f>IFERROR(IF(B74="","",(G74-D74)/D74),"")</f>
        <v/>
      </c>
      <c r="J74" s="66">
        <f>IFERROR(IF(B74="","",E74/(E74/0.035)),"")</f>
        <v/>
      </c>
      <c r="K74" s="66">
        <f>IFERROR(IF(B74="","",F74/E74),"")</f>
        <v/>
      </c>
      <c r="L74" s="67">
        <f>IF(B74="","",IF(H74&gt;=4,"Strong — Scale",IF(H74&gt;=2.5,"Acceptable",IF(H74&gt;=1,"Below Target","Pause"))))</f>
        <v/>
      </c>
    </row>
    <row r="75" ht="18" customHeight="1" s="37">
      <c r="A75" s="52">
        <f>IF(B75&lt;&gt;"",ROW()-10,"")</f>
        <v/>
      </c>
      <c r="B75" s="53" t="n"/>
      <c r="C75" s="53" t="n"/>
      <c r="D75" s="54" t="n"/>
      <c r="E75" s="55" t="n"/>
      <c r="F75" s="55" t="n"/>
      <c r="G75" s="54" t="n"/>
      <c r="H75" s="56">
        <f>IFERROR(IF(B75="","",G75/D75),"")</f>
        <v/>
      </c>
      <c r="I75" s="57">
        <f>IFERROR(IF(B75="","",(G75-D75)/D75),"")</f>
        <v/>
      </c>
      <c r="J75" s="58">
        <f>IFERROR(IF(B75="","",E75/(E75/0.035)),"")</f>
        <v/>
      </c>
      <c r="K75" s="58">
        <f>IFERROR(IF(B75="","",F75/E75),"")</f>
        <v/>
      </c>
      <c r="L75" s="59">
        <f>IF(B75="","",IF(H75&gt;=4,"Strong — Scale",IF(H75&gt;=2.5,"Acceptable",IF(H75&gt;=1,"Below Target","Pause"))))</f>
        <v/>
      </c>
    </row>
    <row r="76" ht="18" customHeight="1" s="37">
      <c r="A76" s="60">
        <f>IF(B76&lt;&gt;"",ROW()-10,"")</f>
        <v/>
      </c>
      <c r="B76" s="61" t="n"/>
      <c r="C76" s="61" t="n"/>
      <c r="D76" s="62" t="n"/>
      <c r="E76" s="63" t="n"/>
      <c r="F76" s="63" t="n"/>
      <c r="G76" s="62" t="n"/>
      <c r="H76" s="64">
        <f>IFERROR(IF(B76="","",G76/D76),"")</f>
        <v/>
      </c>
      <c r="I76" s="65">
        <f>IFERROR(IF(B76="","",(G76-D76)/D76),"")</f>
        <v/>
      </c>
      <c r="J76" s="66">
        <f>IFERROR(IF(B76="","",E76/(E76/0.035)),"")</f>
        <v/>
      </c>
      <c r="K76" s="66">
        <f>IFERROR(IF(B76="","",F76/E76),"")</f>
        <v/>
      </c>
      <c r="L76" s="67">
        <f>IF(B76="","",IF(H76&gt;=4,"Strong — Scale",IF(H76&gt;=2.5,"Acceptable",IF(H76&gt;=1,"Below Target","Pause"))))</f>
        <v/>
      </c>
    </row>
    <row r="77" ht="18" customHeight="1" s="37">
      <c r="A77" s="52">
        <f>IF(B77&lt;&gt;"",ROW()-10,"")</f>
        <v/>
      </c>
      <c r="B77" s="53" t="n"/>
      <c r="C77" s="53" t="n"/>
      <c r="D77" s="54" t="n"/>
      <c r="E77" s="55" t="n"/>
      <c r="F77" s="55" t="n"/>
      <c r="G77" s="54" t="n"/>
      <c r="H77" s="56">
        <f>IFERROR(IF(B77="","",G77/D77),"")</f>
        <v/>
      </c>
      <c r="I77" s="57">
        <f>IFERROR(IF(B77="","",(G77-D77)/D77),"")</f>
        <v/>
      </c>
      <c r="J77" s="58">
        <f>IFERROR(IF(B77="","",E77/(E77/0.035)),"")</f>
        <v/>
      </c>
      <c r="K77" s="58">
        <f>IFERROR(IF(B77="","",F77/E77),"")</f>
        <v/>
      </c>
      <c r="L77" s="59">
        <f>IF(B77="","",IF(H77&gt;=4,"Strong — Scale",IF(H77&gt;=2.5,"Acceptable",IF(H77&gt;=1,"Below Target","Pause"))))</f>
        <v/>
      </c>
    </row>
    <row r="78" ht="18" customHeight="1" s="37">
      <c r="A78" s="60">
        <f>IF(B78&lt;&gt;"",ROW()-10,"")</f>
        <v/>
      </c>
      <c r="B78" s="61" t="n"/>
      <c r="C78" s="61" t="n"/>
      <c r="D78" s="62" t="n"/>
      <c r="E78" s="63" t="n"/>
      <c r="F78" s="63" t="n"/>
      <c r="G78" s="62" t="n"/>
      <c r="H78" s="64">
        <f>IFERROR(IF(B78="","",G78/D78),"")</f>
        <v/>
      </c>
      <c r="I78" s="65">
        <f>IFERROR(IF(B78="","",(G78-D78)/D78),"")</f>
        <v/>
      </c>
      <c r="J78" s="66">
        <f>IFERROR(IF(B78="","",E78/(E78/0.035)),"")</f>
        <v/>
      </c>
      <c r="K78" s="66">
        <f>IFERROR(IF(B78="","",F78/E78),"")</f>
        <v/>
      </c>
      <c r="L78" s="67">
        <f>IF(B78="","",IF(H78&gt;=4,"Strong — Scale",IF(H78&gt;=2.5,"Acceptable",IF(H78&gt;=1,"Below Target","Pause"))))</f>
        <v/>
      </c>
    </row>
    <row r="79" ht="18" customHeight="1" s="37">
      <c r="A79" s="52">
        <f>IF(B79&lt;&gt;"",ROW()-10,"")</f>
        <v/>
      </c>
      <c r="B79" s="53" t="n"/>
      <c r="C79" s="53" t="n"/>
      <c r="D79" s="54" t="n"/>
      <c r="E79" s="55" t="n"/>
      <c r="F79" s="55" t="n"/>
      <c r="G79" s="54" t="n"/>
      <c r="H79" s="56">
        <f>IFERROR(IF(B79="","",G79/D79),"")</f>
        <v/>
      </c>
      <c r="I79" s="57">
        <f>IFERROR(IF(B79="","",(G79-D79)/D79),"")</f>
        <v/>
      </c>
      <c r="J79" s="58">
        <f>IFERROR(IF(B79="","",E79/(E79/0.035)),"")</f>
        <v/>
      </c>
      <c r="K79" s="58">
        <f>IFERROR(IF(B79="","",F79/E79),"")</f>
        <v/>
      </c>
      <c r="L79" s="59">
        <f>IF(B79="","",IF(H79&gt;=4,"Strong — Scale",IF(H79&gt;=2.5,"Acceptable",IF(H79&gt;=1,"Below Target","Pause"))))</f>
        <v/>
      </c>
    </row>
    <row r="80" ht="18" customHeight="1" s="37">
      <c r="A80" s="60">
        <f>IF(B80&lt;&gt;"",ROW()-10,"")</f>
        <v/>
      </c>
      <c r="B80" s="61" t="n"/>
      <c r="C80" s="61" t="n"/>
      <c r="D80" s="62" t="n"/>
      <c r="E80" s="63" t="n"/>
      <c r="F80" s="63" t="n"/>
      <c r="G80" s="62" t="n"/>
      <c r="H80" s="64">
        <f>IFERROR(IF(B80="","",G80/D80),"")</f>
        <v/>
      </c>
      <c r="I80" s="65">
        <f>IFERROR(IF(B80="","",(G80-D80)/D80),"")</f>
        <v/>
      </c>
      <c r="J80" s="66">
        <f>IFERROR(IF(B80="","",E80/(E80/0.035)),"")</f>
        <v/>
      </c>
      <c r="K80" s="66">
        <f>IFERROR(IF(B80="","",F80/E80),"")</f>
        <v/>
      </c>
      <c r="L80" s="67">
        <f>IF(B80="","",IF(H80&gt;=4,"Strong — Scale",IF(H80&gt;=2.5,"Acceptable",IF(H80&gt;=1,"Below Target","Pause"))))</f>
        <v/>
      </c>
    </row>
    <row r="81" ht="18" customHeight="1" s="37">
      <c r="A81" s="52">
        <f>IF(B81&lt;&gt;"",ROW()-10,"")</f>
        <v/>
      </c>
      <c r="B81" s="53" t="n"/>
      <c r="C81" s="53" t="n"/>
      <c r="D81" s="54" t="n"/>
      <c r="E81" s="55" t="n"/>
      <c r="F81" s="55" t="n"/>
      <c r="G81" s="54" t="n"/>
      <c r="H81" s="56">
        <f>IFERROR(IF(B81="","",G81/D81),"")</f>
        <v/>
      </c>
      <c r="I81" s="57">
        <f>IFERROR(IF(B81="","",(G81-D81)/D81),"")</f>
        <v/>
      </c>
      <c r="J81" s="58">
        <f>IFERROR(IF(B81="","",E81/(E81/0.035)),"")</f>
        <v/>
      </c>
      <c r="K81" s="58">
        <f>IFERROR(IF(B81="","",F81/E81),"")</f>
        <v/>
      </c>
      <c r="L81" s="59">
        <f>IF(B81="","",IF(H81&gt;=4,"Strong — Scale",IF(H81&gt;=2.5,"Acceptable",IF(H81&gt;=1,"Below Target","Pause"))))</f>
        <v/>
      </c>
    </row>
    <row r="82" ht="18" customHeight="1" s="37">
      <c r="A82" s="60">
        <f>IF(B82&lt;&gt;"",ROW()-10,"")</f>
        <v/>
      </c>
      <c r="B82" s="61" t="n"/>
      <c r="C82" s="61" t="n"/>
      <c r="D82" s="62" t="n"/>
      <c r="E82" s="63" t="n"/>
      <c r="F82" s="63" t="n"/>
      <c r="G82" s="62" t="n"/>
      <c r="H82" s="64">
        <f>IFERROR(IF(B82="","",G82/D82),"")</f>
        <v/>
      </c>
      <c r="I82" s="65">
        <f>IFERROR(IF(B82="","",(G82-D82)/D82),"")</f>
        <v/>
      </c>
      <c r="J82" s="66">
        <f>IFERROR(IF(B82="","",E82/(E82/0.035)),"")</f>
        <v/>
      </c>
      <c r="K82" s="66">
        <f>IFERROR(IF(B82="","",F82/E82),"")</f>
        <v/>
      </c>
      <c r="L82" s="67">
        <f>IF(B82="","",IF(H82&gt;=4,"Strong — Scale",IF(H82&gt;=2.5,"Acceptable",IF(H82&gt;=1,"Below Target","Pause"))))</f>
        <v/>
      </c>
    </row>
    <row r="83" ht="18" customHeight="1" s="37">
      <c r="A83" s="52">
        <f>IF(B83&lt;&gt;"",ROW()-10,"")</f>
        <v/>
      </c>
      <c r="B83" s="53" t="n"/>
      <c r="C83" s="53" t="n"/>
      <c r="D83" s="54" t="n"/>
      <c r="E83" s="55" t="n"/>
      <c r="F83" s="55" t="n"/>
      <c r="G83" s="54" t="n"/>
      <c r="H83" s="56">
        <f>IFERROR(IF(B83="","",G83/D83),"")</f>
        <v/>
      </c>
      <c r="I83" s="57">
        <f>IFERROR(IF(B83="","",(G83-D83)/D83),"")</f>
        <v/>
      </c>
      <c r="J83" s="58">
        <f>IFERROR(IF(B83="","",E83/(E83/0.035)),"")</f>
        <v/>
      </c>
      <c r="K83" s="58">
        <f>IFERROR(IF(B83="","",F83/E83),"")</f>
        <v/>
      </c>
      <c r="L83" s="59">
        <f>IF(B83="","",IF(H83&gt;=4,"Strong — Scale",IF(H83&gt;=2.5,"Acceptable",IF(H83&gt;=1,"Below Target","Pause"))))</f>
        <v/>
      </c>
    </row>
    <row r="84" ht="18" customHeight="1" s="37">
      <c r="A84" s="60">
        <f>IF(B84&lt;&gt;"",ROW()-10,"")</f>
        <v/>
      </c>
      <c r="B84" s="61" t="n"/>
      <c r="C84" s="61" t="n"/>
      <c r="D84" s="62" t="n"/>
      <c r="E84" s="63" t="n"/>
      <c r="F84" s="63" t="n"/>
      <c r="G84" s="62" t="n"/>
      <c r="H84" s="64">
        <f>IFERROR(IF(B84="","",G84/D84),"")</f>
        <v/>
      </c>
      <c r="I84" s="65">
        <f>IFERROR(IF(B84="","",(G84-D84)/D84),"")</f>
        <v/>
      </c>
      <c r="J84" s="66">
        <f>IFERROR(IF(B84="","",E84/(E84/0.035)),"")</f>
        <v/>
      </c>
      <c r="K84" s="66">
        <f>IFERROR(IF(B84="","",F84/E84),"")</f>
        <v/>
      </c>
      <c r="L84" s="67">
        <f>IF(B84="","",IF(H84&gt;=4,"Strong — Scale",IF(H84&gt;=2.5,"Acceptable",IF(H84&gt;=1,"Below Target","Pause"))))</f>
        <v/>
      </c>
    </row>
    <row r="85" ht="18" customHeight="1" s="37">
      <c r="A85" s="52">
        <f>IF(B85&lt;&gt;"",ROW()-10,"")</f>
        <v/>
      </c>
      <c r="B85" s="53" t="n"/>
      <c r="C85" s="53" t="n"/>
      <c r="D85" s="54" t="n"/>
      <c r="E85" s="55" t="n"/>
      <c r="F85" s="55" t="n"/>
      <c r="G85" s="54" t="n"/>
      <c r="H85" s="56">
        <f>IFERROR(IF(B85="","",G85/D85),"")</f>
        <v/>
      </c>
      <c r="I85" s="57">
        <f>IFERROR(IF(B85="","",(G85-D85)/D85),"")</f>
        <v/>
      </c>
      <c r="J85" s="58">
        <f>IFERROR(IF(B85="","",E85/(E85/0.035)),"")</f>
        <v/>
      </c>
      <c r="K85" s="58">
        <f>IFERROR(IF(B85="","",F85/E85),"")</f>
        <v/>
      </c>
      <c r="L85" s="59">
        <f>IF(B85="","",IF(H85&gt;=4,"Strong — Scale",IF(H85&gt;=2.5,"Acceptable",IF(H85&gt;=1,"Below Target","Pause"))))</f>
        <v/>
      </c>
    </row>
    <row r="86" ht="18" customHeight="1" s="37">
      <c r="A86" s="60">
        <f>IF(B86&lt;&gt;"",ROW()-10,"")</f>
        <v/>
      </c>
      <c r="B86" s="61" t="n"/>
      <c r="C86" s="61" t="n"/>
      <c r="D86" s="62" t="n"/>
      <c r="E86" s="63" t="n"/>
      <c r="F86" s="63" t="n"/>
      <c r="G86" s="62" t="n"/>
      <c r="H86" s="64">
        <f>IFERROR(IF(B86="","",G86/D86),"")</f>
        <v/>
      </c>
      <c r="I86" s="65">
        <f>IFERROR(IF(B86="","",(G86-D86)/D86),"")</f>
        <v/>
      </c>
      <c r="J86" s="66">
        <f>IFERROR(IF(B86="","",E86/(E86/0.035)),"")</f>
        <v/>
      </c>
      <c r="K86" s="66">
        <f>IFERROR(IF(B86="","",F86/E86),"")</f>
        <v/>
      </c>
      <c r="L86" s="67">
        <f>IF(B86="","",IF(H86&gt;=4,"Strong — Scale",IF(H86&gt;=2.5,"Acceptable",IF(H86&gt;=1,"Below Target","Pause"))))</f>
        <v/>
      </c>
    </row>
    <row r="87" ht="18" customHeight="1" s="37">
      <c r="A87" s="52">
        <f>IF(B87&lt;&gt;"",ROW()-10,"")</f>
        <v/>
      </c>
      <c r="B87" s="53" t="n"/>
      <c r="C87" s="53" t="n"/>
      <c r="D87" s="54" t="n"/>
      <c r="E87" s="55" t="n"/>
      <c r="F87" s="55" t="n"/>
      <c r="G87" s="54" t="n"/>
      <c r="H87" s="56">
        <f>IFERROR(IF(B87="","",G87/D87),"")</f>
        <v/>
      </c>
      <c r="I87" s="57">
        <f>IFERROR(IF(B87="","",(G87-D87)/D87),"")</f>
        <v/>
      </c>
      <c r="J87" s="58">
        <f>IFERROR(IF(B87="","",E87/(E87/0.035)),"")</f>
        <v/>
      </c>
      <c r="K87" s="58">
        <f>IFERROR(IF(B87="","",F87/E87),"")</f>
        <v/>
      </c>
      <c r="L87" s="59">
        <f>IF(B87="","",IF(H87&gt;=4,"Strong — Scale",IF(H87&gt;=2.5,"Acceptable",IF(H87&gt;=1,"Below Target","Pause"))))</f>
        <v/>
      </c>
    </row>
    <row r="88" ht="18" customHeight="1" s="37">
      <c r="A88" s="60">
        <f>IF(B88&lt;&gt;"",ROW()-10,"")</f>
        <v/>
      </c>
      <c r="B88" s="61" t="n"/>
      <c r="C88" s="61" t="n"/>
      <c r="D88" s="62" t="n"/>
      <c r="E88" s="63" t="n"/>
      <c r="F88" s="63" t="n"/>
      <c r="G88" s="62" t="n"/>
      <c r="H88" s="64">
        <f>IFERROR(IF(B88="","",G88/D88),"")</f>
        <v/>
      </c>
      <c r="I88" s="65">
        <f>IFERROR(IF(B88="","",(G88-D88)/D88),"")</f>
        <v/>
      </c>
      <c r="J88" s="66">
        <f>IFERROR(IF(B88="","",E88/(E88/0.035)),"")</f>
        <v/>
      </c>
      <c r="K88" s="66">
        <f>IFERROR(IF(B88="","",F88/E88),"")</f>
        <v/>
      </c>
      <c r="L88" s="67">
        <f>IF(B88="","",IF(H88&gt;=4,"Strong — Scale",IF(H88&gt;=2.5,"Acceptable",IF(H88&gt;=1,"Below Target","Pause"))))</f>
        <v/>
      </c>
    </row>
    <row r="89" ht="18" customHeight="1" s="37">
      <c r="A89" s="52">
        <f>IF(B89&lt;&gt;"",ROW()-10,"")</f>
        <v/>
      </c>
      <c r="B89" s="53" t="n"/>
      <c r="C89" s="53" t="n"/>
      <c r="D89" s="54" t="n"/>
      <c r="E89" s="55" t="n"/>
      <c r="F89" s="55" t="n"/>
      <c r="G89" s="54" t="n"/>
      <c r="H89" s="56">
        <f>IFERROR(IF(B89="","",G89/D89),"")</f>
        <v/>
      </c>
      <c r="I89" s="57">
        <f>IFERROR(IF(B89="","",(G89-D89)/D89),"")</f>
        <v/>
      </c>
      <c r="J89" s="58">
        <f>IFERROR(IF(B89="","",E89/(E89/0.035)),"")</f>
        <v/>
      </c>
      <c r="K89" s="58">
        <f>IFERROR(IF(B89="","",F89/E89),"")</f>
        <v/>
      </c>
      <c r="L89" s="59">
        <f>IF(B89="","",IF(H89&gt;=4,"Strong — Scale",IF(H89&gt;=2.5,"Acceptable",IF(H89&gt;=1,"Below Target","Pause"))))</f>
        <v/>
      </c>
    </row>
    <row r="90" ht="18" customHeight="1" s="37">
      <c r="A90" s="60">
        <f>IF(B90&lt;&gt;"",ROW()-10,"")</f>
        <v/>
      </c>
      <c r="B90" s="61" t="n"/>
      <c r="C90" s="61" t="n"/>
      <c r="D90" s="62" t="n"/>
      <c r="E90" s="63" t="n"/>
      <c r="F90" s="63" t="n"/>
      <c r="G90" s="62" t="n"/>
      <c r="H90" s="64">
        <f>IFERROR(IF(B90="","",G90/D90),"")</f>
        <v/>
      </c>
      <c r="I90" s="65">
        <f>IFERROR(IF(B90="","",(G90-D90)/D90),"")</f>
        <v/>
      </c>
      <c r="J90" s="66">
        <f>IFERROR(IF(B90="","",E90/(E90/0.035)),"")</f>
        <v/>
      </c>
      <c r="K90" s="66">
        <f>IFERROR(IF(B90="","",F90/E90),"")</f>
        <v/>
      </c>
      <c r="L90" s="67">
        <f>IF(B90="","",IF(H90&gt;=4,"Strong — Scale",IF(H90&gt;=2.5,"Acceptable",IF(H90&gt;=1,"Below Target","Pause"))))</f>
        <v/>
      </c>
    </row>
    <row r="91" ht="18" customHeight="1" s="37">
      <c r="A91" s="52">
        <f>IF(B91&lt;&gt;"",ROW()-10,"")</f>
        <v/>
      </c>
      <c r="B91" s="53" t="n"/>
      <c r="C91" s="53" t="n"/>
      <c r="D91" s="54" t="n"/>
      <c r="E91" s="55" t="n"/>
      <c r="F91" s="55" t="n"/>
      <c r="G91" s="54" t="n"/>
      <c r="H91" s="56">
        <f>IFERROR(IF(B91="","",G91/D91),"")</f>
        <v/>
      </c>
      <c r="I91" s="57">
        <f>IFERROR(IF(B91="","",(G91-D91)/D91),"")</f>
        <v/>
      </c>
      <c r="J91" s="58">
        <f>IFERROR(IF(B91="","",E91/(E91/0.035)),"")</f>
        <v/>
      </c>
      <c r="K91" s="58">
        <f>IFERROR(IF(B91="","",F91/E91),"")</f>
        <v/>
      </c>
      <c r="L91" s="59">
        <f>IF(B91="","",IF(H91&gt;=4,"Strong — Scale",IF(H91&gt;=2.5,"Acceptable",IF(H91&gt;=1,"Below Target","Pause"))))</f>
        <v/>
      </c>
    </row>
    <row r="92" ht="18" customHeight="1" s="37">
      <c r="A92" s="60">
        <f>IF(B92&lt;&gt;"",ROW()-10,"")</f>
        <v/>
      </c>
      <c r="B92" s="61" t="n"/>
      <c r="C92" s="61" t="n"/>
      <c r="D92" s="62" t="n"/>
      <c r="E92" s="63" t="n"/>
      <c r="F92" s="63" t="n"/>
      <c r="G92" s="62" t="n"/>
      <c r="H92" s="64">
        <f>IFERROR(IF(B92="","",G92/D92),"")</f>
        <v/>
      </c>
      <c r="I92" s="65">
        <f>IFERROR(IF(B92="","",(G92-D92)/D92),"")</f>
        <v/>
      </c>
      <c r="J92" s="66">
        <f>IFERROR(IF(B92="","",E92/(E92/0.035)),"")</f>
        <v/>
      </c>
      <c r="K92" s="66">
        <f>IFERROR(IF(B92="","",F92/E92),"")</f>
        <v/>
      </c>
      <c r="L92" s="67">
        <f>IF(B92="","",IF(H92&gt;=4,"Strong — Scale",IF(H92&gt;=2.5,"Acceptable",IF(H92&gt;=1,"Below Target","Pause"))))</f>
        <v/>
      </c>
    </row>
    <row r="93" ht="18" customHeight="1" s="37">
      <c r="A93" s="52">
        <f>IF(B93&lt;&gt;"",ROW()-10,"")</f>
        <v/>
      </c>
      <c r="B93" s="53" t="n"/>
      <c r="C93" s="53" t="n"/>
      <c r="D93" s="54" t="n"/>
      <c r="E93" s="55" t="n"/>
      <c r="F93" s="55" t="n"/>
      <c r="G93" s="54" t="n"/>
      <c r="H93" s="56">
        <f>IFERROR(IF(B93="","",G93/D93),"")</f>
        <v/>
      </c>
      <c r="I93" s="57">
        <f>IFERROR(IF(B93="","",(G93-D93)/D93),"")</f>
        <v/>
      </c>
      <c r="J93" s="58">
        <f>IFERROR(IF(B93="","",E93/(E93/0.035)),"")</f>
        <v/>
      </c>
      <c r="K93" s="58">
        <f>IFERROR(IF(B93="","",F93/E93),"")</f>
        <v/>
      </c>
      <c r="L93" s="59">
        <f>IF(B93="","",IF(H93&gt;=4,"Strong — Scale",IF(H93&gt;=2.5,"Acceptable",IF(H93&gt;=1,"Below Target","Pause"))))</f>
        <v/>
      </c>
    </row>
    <row r="94" ht="18" customHeight="1" s="37">
      <c r="A94" s="60">
        <f>IF(B94&lt;&gt;"",ROW()-10,"")</f>
        <v/>
      </c>
      <c r="B94" s="61" t="n"/>
      <c r="C94" s="61" t="n"/>
      <c r="D94" s="62" t="n"/>
      <c r="E94" s="63" t="n"/>
      <c r="F94" s="63" t="n"/>
      <c r="G94" s="62" t="n"/>
      <c r="H94" s="64">
        <f>IFERROR(IF(B94="","",G94/D94),"")</f>
        <v/>
      </c>
      <c r="I94" s="65">
        <f>IFERROR(IF(B94="","",(G94-D94)/D94),"")</f>
        <v/>
      </c>
      <c r="J94" s="66">
        <f>IFERROR(IF(B94="","",E94/(E94/0.035)),"")</f>
        <v/>
      </c>
      <c r="K94" s="66">
        <f>IFERROR(IF(B94="","",F94/E94),"")</f>
        <v/>
      </c>
      <c r="L94" s="67">
        <f>IF(B94="","",IF(H94&gt;=4,"Strong — Scale",IF(H94&gt;=2.5,"Acceptable",IF(H94&gt;=1,"Below Target","Pause"))))</f>
        <v/>
      </c>
    </row>
    <row r="95" ht="18" customHeight="1" s="37">
      <c r="A95" s="52">
        <f>IF(B95&lt;&gt;"",ROW()-10,"")</f>
        <v/>
      </c>
      <c r="B95" s="53" t="n"/>
      <c r="C95" s="53" t="n"/>
      <c r="D95" s="54" t="n"/>
      <c r="E95" s="55" t="n"/>
      <c r="F95" s="55" t="n"/>
      <c r="G95" s="54" t="n"/>
      <c r="H95" s="56">
        <f>IFERROR(IF(B95="","",G95/D95),"")</f>
        <v/>
      </c>
      <c r="I95" s="57">
        <f>IFERROR(IF(B95="","",(G95-D95)/D95),"")</f>
        <v/>
      </c>
      <c r="J95" s="58">
        <f>IFERROR(IF(B95="","",E95/(E95/0.035)),"")</f>
        <v/>
      </c>
      <c r="K95" s="58">
        <f>IFERROR(IF(B95="","",F95/E95),"")</f>
        <v/>
      </c>
      <c r="L95" s="59">
        <f>IF(B95="","",IF(H95&gt;=4,"Strong — Scale",IF(H95&gt;=2.5,"Acceptable",IF(H95&gt;=1,"Below Target","Pause"))))</f>
        <v/>
      </c>
    </row>
    <row r="96" ht="18" customHeight="1" s="37">
      <c r="A96" s="60">
        <f>IF(B96&lt;&gt;"",ROW()-10,"")</f>
        <v/>
      </c>
      <c r="B96" s="61" t="n"/>
      <c r="C96" s="61" t="n"/>
      <c r="D96" s="62" t="n"/>
      <c r="E96" s="63" t="n"/>
      <c r="F96" s="63" t="n"/>
      <c r="G96" s="62" t="n"/>
      <c r="H96" s="64">
        <f>IFERROR(IF(B96="","",G96/D96),"")</f>
        <v/>
      </c>
      <c r="I96" s="65">
        <f>IFERROR(IF(B96="","",(G96-D96)/D96),"")</f>
        <v/>
      </c>
      <c r="J96" s="66">
        <f>IFERROR(IF(B96="","",E96/(E96/0.035)),"")</f>
        <v/>
      </c>
      <c r="K96" s="66">
        <f>IFERROR(IF(B96="","",F96/E96),"")</f>
        <v/>
      </c>
      <c r="L96" s="67">
        <f>IF(B96="","",IF(H96&gt;=4,"Strong — Scale",IF(H96&gt;=2.5,"Acceptable",IF(H96&gt;=1,"Below Target","Pause"))))</f>
        <v/>
      </c>
    </row>
    <row r="97" ht="18" customHeight="1" s="37">
      <c r="A97" s="52">
        <f>IF(B97&lt;&gt;"",ROW()-10,"")</f>
        <v/>
      </c>
      <c r="B97" s="53" t="n"/>
      <c r="C97" s="53" t="n"/>
      <c r="D97" s="54" t="n"/>
      <c r="E97" s="55" t="n"/>
      <c r="F97" s="55" t="n"/>
      <c r="G97" s="54" t="n"/>
      <c r="H97" s="56">
        <f>IFERROR(IF(B97="","",G97/D97),"")</f>
        <v/>
      </c>
      <c r="I97" s="57">
        <f>IFERROR(IF(B97="","",(G97-D97)/D97),"")</f>
        <v/>
      </c>
      <c r="J97" s="58">
        <f>IFERROR(IF(B97="","",E97/(E97/0.035)),"")</f>
        <v/>
      </c>
      <c r="K97" s="58">
        <f>IFERROR(IF(B97="","",F97/E97),"")</f>
        <v/>
      </c>
      <c r="L97" s="59">
        <f>IF(B97="","",IF(H97&gt;=4,"Strong — Scale",IF(H97&gt;=2.5,"Acceptable",IF(H97&gt;=1,"Below Target","Pause"))))</f>
        <v/>
      </c>
    </row>
    <row r="98" ht="18" customHeight="1" s="37">
      <c r="A98" s="60">
        <f>IF(B98&lt;&gt;"",ROW()-10,"")</f>
        <v/>
      </c>
      <c r="B98" s="61" t="n"/>
      <c r="C98" s="61" t="n"/>
      <c r="D98" s="62" t="n"/>
      <c r="E98" s="63" t="n"/>
      <c r="F98" s="63" t="n"/>
      <c r="G98" s="62" t="n"/>
      <c r="H98" s="64">
        <f>IFERROR(IF(B98="","",G98/D98),"")</f>
        <v/>
      </c>
      <c r="I98" s="65">
        <f>IFERROR(IF(B98="","",(G98-D98)/D98),"")</f>
        <v/>
      </c>
      <c r="J98" s="66">
        <f>IFERROR(IF(B98="","",E98/(E98/0.035)),"")</f>
        <v/>
      </c>
      <c r="K98" s="66">
        <f>IFERROR(IF(B98="","",F98/E98),"")</f>
        <v/>
      </c>
      <c r="L98" s="67">
        <f>IF(B98="","",IF(H98&gt;=4,"Strong — Scale",IF(H98&gt;=2.5,"Acceptable",IF(H98&gt;=1,"Below Target","Pause"))))</f>
        <v/>
      </c>
    </row>
    <row r="99" ht="18" customHeight="1" s="37">
      <c r="A99" s="52">
        <f>IF(B99&lt;&gt;"",ROW()-10,"")</f>
        <v/>
      </c>
      <c r="B99" s="53" t="n"/>
      <c r="C99" s="53" t="n"/>
      <c r="D99" s="54" t="n"/>
      <c r="E99" s="55" t="n"/>
      <c r="F99" s="55" t="n"/>
      <c r="G99" s="54" t="n"/>
      <c r="H99" s="56">
        <f>IFERROR(IF(B99="","",G99/D99),"")</f>
        <v/>
      </c>
      <c r="I99" s="57">
        <f>IFERROR(IF(B99="","",(G99-D99)/D99),"")</f>
        <v/>
      </c>
      <c r="J99" s="58">
        <f>IFERROR(IF(B99="","",E99/(E99/0.035)),"")</f>
        <v/>
      </c>
      <c r="K99" s="58">
        <f>IFERROR(IF(B99="","",F99/E99),"")</f>
        <v/>
      </c>
      <c r="L99" s="59">
        <f>IF(B99="","",IF(H99&gt;=4,"Strong — Scale",IF(H99&gt;=2.5,"Acceptable",IF(H99&gt;=1,"Below Target","Pause"))))</f>
        <v/>
      </c>
    </row>
    <row r="100" ht="18" customHeight="1" s="37">
      <c r="A100" s="60">
        <f>IF(B100&lt;&gt;"",ROW()-10,"")</f>
        <v/>
      </c>
      <c r="B100" s="61" t="n"/>
      <c r="C100" s="61" t="n"/>
      <c r="D100" s="62" t="n"/>
      <c r="E100" s="63" t="n"/>
      <c r="F100" s="63" t="n"/>
      <c r="G100" s="62" t="n"/>
      <c r="H100" s="64">
        <f>IFERROR(IF(B100="","",G100/D100),"")</f>
        <v/>
      </c>
      <c r="I100" s="65">
        <f>IFERROR(IF(B100="","",(G100-D100)/D100),"")</f>
        <v/>
      </c>
      <c r="J100" s="66">
        <f>IFERROR(IF(B100="","",E100/(E100/0.035)),"")</f>
        <v/>
      </c>
      <c r="K100" s="66">
        <f>IFERROR(IF(B100="","",F100/E100),"")</f>
        <v/>
      </c>
      <c r="L100" s="67">
        <f>IF(B100="","",IF(H100&gt;=4,"Strong — Scale",IF(H100&gt;=2.5,"Acceptable",IF(H100&gt;=1,"Below Target","Pause"))))</f>
        <v/>
      </c>
    </row>
    <row r="101" ht="18" customHeight="1" s="37">
      <c r="A101" s="52">
        <f>IF(B101&lt;&gt;"",ROW()-10,"")</f>
        <v/>
      </c>
      <c r="B101" s="53" t="n"/>
      <c r="C101" s="53" t="n"/>
      <c r="D101" s="54" t="n"/>
      <c r="E101" s="55" t="n"/>
      <c r="F101" s="55" t="n"/>
      <c r="G101" s="54" t="n"/>
      <c r="H101" s="56">
        <f>IFERROR(IF(B101="","",G101/D101),"")</f>
        <v/>
      </c>
      <c r="I101" s="57">
        <f>IFERROR(IF(B101="","",(G101-D101)/D101),"")</f>
        <v/>
      </c>
      <c r="J101" s="58">
        <f>IFERROR(IF(B101="","",E101/(E101/0.035)),"")</f>
        <v/>
      </c>
      <c r="K101" s="58">
        <f>IFERROR(IF(B101="","",F101/E101),"")</f>
        <v/>
      </c>
      <c r="L101" s="59">
        <f>IF(B101="","",IF(H101&gt;=4,"Strong — Scale",IF(H101&gt;=2.5,"Acceptable",IF(H101&gt;=1,"Below Target","Pause"))))</f>
        <v/>
      </c>
    </row>
    <row r="102" ht="18" customHeight="1" s="37">
      <c r="A102" s="60">
        <f>IF(B102&lt;&gt;"",ROW()-10,"")</f>
        <v/>
      </c>
      <c r="B102" s="61" t="n"/>
      <c r="C102" s="61" t="n"/>
      <c r="D102" s="62" t="n"/>
      <c r="E102" s="63" t="n"/>
      <c r="F102" s="63" t="n"/>
      <c r="G102" s="62" t="n"/>
      <c r="H102" s="64">
        <f>IFERROR(IF(B102="","",G102/D102),"")</f>
        <v/>
      </c>
      <c r="I102" s="65">
        <f>IFERROR(IF(B102="","",(G102-D102)/D102),"")</f>
        <v/>
      </c>
      <c r="J102" s="66">
        <f>IFERROR(IF(B102="","",E102/(E102/0.035)),"")</f>
        <v/>
      </c>
      <c r="K102" s="66">
        <f>IFERROR(IF(B102="","",F102/E102),"")</f>
        <v/>
      </c>
      <c r="L102" s="67">
        <f>IF(B102="","",IF(H102&gt;=4,"Strong — Scale",IF(H102&gt;=2.5,"Acceptable",IF(H102&gt;=1,"Below Target","Pause"))))</f>
        <v/>
      </c>
    </row>
    <row r="103" ht="18" customHeight="1" s="37">
      <c r="A103" s="52">
        <f>IF(B103&lt;&gt;"",ROW()-10,"")</f>
        <v/>
      </c>
      <c r="B103" s="53" t="n"/>
      <c r="C103" s="53" t="n"/>
      <c r="D103" s="54" t="n"/>
      <c r="E103" s="55" t="n"/>
      <c r="F103" s="55" t="n"/>
      <c r="G103" s="54" t="n"/>
      <c r="H103" s="56">
        <f>IFERROR(IF(B103="","",G103/D103),"")</f>
        <v/>
      </c>
      <c r="I103" s="57">
        <f>IFERROR(IF(B103="","",(G103-D103)/D103),"")</f>
        <v/>
      </c>
      <c r="J103" s="58">
        <f>IFERROR(IF(B103="","",E103/(E103/0.035)),"")</f>
        <v/>
      </c>
      <c r="K103" s="58">
        <f>IFERROR(IF(B103="","",F103/E103),"")</f>
        <v/>
      </c>
      <c r="L103" s="59">
        <f>IF(B103="","",IF(H103&gt;=4,"Strong — Scale",IF(H103&gt;=2.5,"Acceptable",IF(H103&gt;=1,"Below Target","Pause"))))</f>
        <v/>
      </c>
    </row>
    <row r="104" ht="18" customHeight="1" s="37">
      <c r="A104" s="60">
        <f>IF(B104&lt;&gt;"",ROW()-10,"")</f>
        <v/>
      </c>
      <c r="B104" s="61" t="n"/>
      <c r="C104" s="61" t="n"/>
      <c r="D104" s="62" t="n"/>
      <c r="E104" s="63" t="n"/>
      <c r="F104" s="63" t="n"/>
      <c r="G104" s="62" t="n"/>
      <c r="H104" s="64">
        <f>IFERROR(IF(B104="","",G104/D104),"")</f>
        <v/>
      </c>
      <c r="I104" s="65">
        <f>IFERROR(IF(B104="","",(G104-D104)/D104),"")</f>
        <v/>
      </c>
      <c r="J104" s="66">
        <f>IFERROR(IF(B104="","",E104/(E104/0.035)),"")</f>
        <v/>
      </c>
      <c r="K104" s="66">
        <f>IFERROR(IF(B104="","",F104/E104),"")</f>
        <v/>
      </c>
      <c r="L104" s="67">
        <f>IF(B104="","",IF(H104&gt;=4,"Strong — Scale",IF(H104&gt;=2.5,"Acceptable",IF(H104&gt;=1,"Below Target","Pause"))))</f>
        <v/>
      </c>
    </row>
    <row r="105" ht="18" customHeight="1" s="37">
      <c r="A105" s="52">
        <f>IF(B105&lt;&gt;"",ROW()-10,"")</f>
        <v/>
      </c>
      <c r="B105" s="53" t="n"/>
      <c r="C105" s="53" t="n"/>
      <c r="D105" s="54" t="n"/>
      <c r="E105" s="55" t="n"/>
      <c r="F105" s="55" t="n"/>
      <c r="G105" s="54" t="n"/>
      <c r="H105" s="56">
        <f>IFERROR(IF(B105="","",G105/D105),"")</f>
        <v/>
      </c>
      <c r="I105" s="57">
        <f>IFERROR(IF(B105="","",(G105-D105)/D105),"")</f>
        <v/>
      </c>
      <c r="J105" s="58">
        <f>IFERROR(IF(B105="","",E105/(E105/0.035)),"")</f>
        <v/>
      </c>
      <c r="K105" s="58">
        <f>IFERROR(IF(B105="","",F105/E105),"")</f>
        <v/>
      </c>
      <c r="L105" s="59">
        <f>IF(B105="","",IF(H105&gt;=4,"Strong — Scale",IF(H105&gt;=2.5,"Acceptable",IF(H105&gt;=1,"Below Target","Pause"))))</f>
        <v/>
      </c>
    </row>
    <row r="106" ht="18" customHeight="1" s="37">
      <c r="A106" s="60">
        <f>IF(B106&lt;&gt;"",ROW()-10,"")</f>
        <v/>
      </c>
      <c r="B106" s="61" t="n"/>
      <c r="C106" s="61" t="n"/>
      <c r="D106" s="62" t="n"/>
      <c r="E106" s="63" t="n"/>
      <c r="F106" s="63" t="n"/>
      <c r="G106" s="62" t="n"/>
      <c r="H106" s="64">
        <f>IFERROR(IF(B106="","",G106/D106),"")</f>
        <v/>
      </c>
      <c r="I106" s="65">
        <f>IFERROR(IF(B106="","",(G106-D106)/D106),"")</f>
        <v/>
      </c>
      <c r="J106" s="66">
        <f>IFERROR(IF(B106="","",E106/(E106/0.035)),"")</f>
        <v/>
      </c>
      <c r="K106" s="66">
        <f>IFERROR(IF(B106="","",F106/E106),"")</f>
        <v/>
      </c>
      <c r="L106" s="67">
        <f>IF(B106="","",IF(H106&gt;=4,"Strong — Scale",IF(H106&gt;=2.5,"Acceptable",IF(H106&gt;=1,"Below Target","Pause"))))</f>
        <v/>
      </c>
    </row>
    <row r="107" ht="18" customHeight="1" s="37">
      <c r="A107" s="52">
        <f>IF(B107&lt;&gt;"",ROW()-10,"")</f>
        <v/>
      </c>
      <c r="B107" s="53" t="n"/>
      <c r="C107" s="53" t="n"/>
      <c r="D107" s="54" t="n"/>
      <c r="E107" s="55" t="n"/>
      <c r="F107" s="55" t="n"/>
      <c r="G107" s="54" t="n"/>
      <c r="H107" s="56">
        <f>IFERROR(IF(B107="","",G107/D107),"")</f>
        <v/>
      </c>
      <c r="I107" s="57">
        <f>IFERROR(IF(B107="","",(G107-D107)/D107),"")</f>
        <v/>
      </c>
      <c r="J107" s="58">
        <f>IFERROR(IF(B107="","",E107/(E107/0.035)),"")</f>
        <v/>
      </c>
      <c r="K107" s="58">
        <f>IFERROR(IF(B107="","",F107/E107),"")</f>
        <v/>
      </c>
      <c r="L107" s="59">
        <f>IF(B107="","",IF(H107&gt;=4,"Strong — Scale",IF(H107&gt;=2.5,"Acceptable",IF(H107&gt;=1,"Below Target","Pause"))))</f>
        <v/>
      </c>
    </row>
    <row r="108" ht="18" customHeight="1" s="37">
      <c r="A108" s="60">
        <f>IF(B108&lt;&gt;"",ROW()-10,"")</f>
        <v/>
      </c>
      <c r="B108" s="61" t="n"/>
      <c r="C108" s="61" t="n"/>
      <c r="D108" s="62" t="n"/>
      <c r="E108" s="63" t="n"/>
      <c r="F108" s="63" t="n"/>
      <c r="G108" s="62" t="n"/>
      <c r="H108" s="64">
        <f>IFERROR(IF(B108="","",G108/D108),"")</f>
        <v/>
      </c>
      <c r="I108" s="65">
        <f>IFERROR(IF(B108="","",(G108-D108)/D108),"")</f>
        <v/>
      </c>
      <c r="J108" s="66">
        <f>IFERROR(IF(B108="","",E108/(E108/0.035)),"")</f>
        <v/>
      </c>
      <c r="K108" s="66">
        <f>IFERROR(IF(B108="","",F108/E108),"")</f>
        <v/>
      </c>
      <c r="L108" s="67">
        <f>IF(B108="","",IF(H108&gt;=4,"Strong — Scale",IF(H108&gt;=2.5,"Acceptable",IF(H108&gt;=1,"Below Target","Pause"))))</f>
        <v/>
      </c>
    </row>
    <row r="109" ht="18" customHeight="1" s="37">
      <c r="A109" s="52">
        <f>IF(B109&lt;&gt;"",ROW()-10,"")</f>
        <v/>
      </c>
      <c r="B109" s="53" t="n"/>
      <c r="C109" s="53" t="n"/>
      <c r="D109" s="54" t="n"/>
      <c r="E109" s="55" t="n"/>
      <c r="F109" s="55" t="n"/>
      <c r="G109" s="54" t="n"/>
      <c r="H109" s="56">
        <f>IFERROR(IF(B109="","",G109/D109),"")</f>
        <v/>
      </c>
      <c r="I109" s="57">
        <f>IFERROR(IF(B109="","",(G109-D109)/D109),"")</f>
        <v/>
      </c>
      <c r="J109" s="58">
        <f>IFERROR(IF(B109="","",E109/(E109/0.035)),"")</f>
        <v/>
      </c>
      <c r="K109" s="58">
        <f>IFERROR(IF(B109="","",F109/E109),"")</f>
        <v/>
      </c>
      <c r="L109" s="59">
        <f>IF(B109="","",IF(H109&gt;=4,"Strong — Scale",IF(H109&gt;=2.5,"Acceptable",IF(H109&gt;=1,"Below Target","Pause"))))</f>
        <v/>
      </c>
    </row>
    <row r="110" ht="18" customHeight="1" s="37">
      <c r="A110" s="60">
        <f>IF(B110&lt;&gt;"",ROW()-10,"")</f>
        <v/>
      </c>
      <c r="B110" s="61" t="n"/>
      <c r="C110" s="61" t="n"/>
      <c r="D110" s="62" t="n"/>
      <c r="E110" s="63" t="n"/>
      <c r="F110" s="63" t="n"/>
      <c r="G110" s="62" t="n"/>
      <c r="H110" s="64">
        <f>IFERROR(IF(B110="","",G110/D110),"")</f>
        <v/>
      </c>
      <c r="I110" s="65">
        <f>IFERROR(IF(B110="","",(G110-D110)/D110),"")</f>
        <v/>
      </c>
      <c r="J110" s="66">
        <f>IFERROR(IF(B110="","",E110/(E110/0.035)),"")</f>
        <v/>
      </c>
      <c r="K110" s="66">
        <f>IFERROR(IF(B110="","",F110/E110),"")</f>
        <v/>
      </c>
      <c r="L110" s="67">
        <f>IF(B110="","",IF(H110&gt;=4,"Strong — Scale",IF(H110&gt;=2.5,"Acceptable",IF(H110&gt;=1,"Below Target","Pause"))))</f>
        <v/>
      </c>
    </row>
  </sheetData>
  <mergeCells count="15">
    <mergeCell ref="A4:B4"/>
    <mergeCell ref="G4:H4"/>
    <mergeCell ref="E4:F4"/>
    <mergeCell ref="I4:J4"/>
    <mergeCell ref="A1:M1"/>
    <mergeCell ref="C5:D6"/>
    <mergeCell ref="A5:B6"/>
    <mergeCell ref="G5:H6"/>
    <mergeCell ref="E5:F6"/>
    <mergeCell ref="K5:L6"/>
    <mergeCell ref="I5:J6"/>
    <mergeCell ref="A9:C9"/>
    <mergeCell ref="K4:L4"/>
    <mergeCell ref="A2:M2"/>
    <mergeCell ref="C4:D4"/>
  </mergeCells>
  <conditionalFormatting sqref="H11:H110">
    <cfRule type="colorScale" priority="2">
      <colorScale>
        <cfvo type="num" val="0"/>
        <cfvo type="num" val="4"/>
        <cfvo type="num" val="8"/>
        <color rgb="FFDC2626"/>
        <color rgb="FFFFD700"/>
        <color rgb="FF16A34A"/>
      </colorScale>
    </cfRule>
  </conditionalFormatting>
  <conditionalFormatting sqref="I11:I110">
    <cfRule type="colorScale" priority="3">
      <colorScale>
        <cfvo type="num" val="0"/>
        <cfvo type="num" val="2"/>
        <cfvo type="num" val="5"/>
        <color rgb="FFDC2626"/>
        <color rgb="FFFFD700"/>
        <color rgb="FF16A34A"/>
      </colorScale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1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36" min="1" max="1"/>
    <col width="14" customWidth="1" style="36" min="2" max="4"/>
  </cols>
  <sheetData>
    <row r="1" ht="33.75" customHeight="1" s="37">
      <c r="A1" s="68" t="inlineStr">
        <is>
          <t>INDUSTRY BENCHMARKS — Google Ads (2024)</t>
        </is>
      </c>
    </row>
    <row r="2" ht="18" customHeight="1" s="37">
      <c r="A2" s="69" t="inlineStr">
        <is>
          <t>Source: WordStream Google Ads Benchmarks Report 2024</t>
        </is>
      </c>
    </row>
    <row r="3" ht="7.5" customHeight="1" s="37"/>
    <row r="4" ht="21.75" customHeight="1" s="37">
      <c r="A4" s="70" t="inlineStr">
        <is>
          <t>Metric</t>
        </is>
      </c>
      <c r="B4" s="70" t="inlineStr">
        <is>
          <t>Search</t>
        </is>
      </c>
      <c r="C4" s="70" t="inlineStr">
        <is>
          <t>Display</t>
        </is>
      </c>
      <c r="D4" s="70" t="inlineStr">
        <is>
          <t>Shopping</t>
        </is>
      </c>
    </row>
    <row r="5" ht="18" customHeight="1" s="37">
      <c r="A5" s="71" t="inlineStr">
        <is>
          <t>Avg CTR</t>
        </is>
      </c>
      <c r="B5" s="59" t="inlineStr">
        <is>
          <t>3.17%</t>
        </is>
      </c>
      <c r="C5" s="59" t="inlineStr">
        <is>
          <t>0.46%</t>
        </is>
      </c>
      <c r="D5" s="59" t="inlineStr">
        <is>
          <t>0.86%</t>
        </is>
      </c>
    </row>
    <row r="6" ht="18" customHeight="1" s="37">
      <c r="A6" s="72" t="inlineStr">
        <is>
          <t>Avg CVR</t>
        </is>
      </c>
      <c r="B6" s="67" t="inlineStr">
        <is>
          <t>4.40%</t>
        </is>
      </c>
      <c r="C6" s="67" t="inlineStr">
        <is>
          <t>0.77%</t>
        </is>
      </c>
      <c r="D6" s="67" t="inlineStr">
        <is>
          <t>1.91%</t>
        </is>
      </c>
    </row>
    <row r="7" ht="18" customHeight="1" s="37">
      <c r="A7" s="71" t="inlineStr">
        <is>
          <t>Target ROAS</t>
        </is>
      </c>
      <c r="B7" s="59" t="inlineStr">
        <is>
          <t>4.0x</t>
        </is>
      </c>
      <c r="C7" s="59" t="inlineStr">
        <is>
          <t>4.0x</t>
        </is>
      </c>
      <c r="D7" s="59" t="inlineStr">
        <is>
          <t>4.0x</t>
        </is>
      </c>
    </row>
    <row r="8" ht="18" customHeight="1" s="37">
      <c r="A8" s="72" t="inlineStr">
        <is>
          <t>Avg CPC ($)</t>
        </is>
      </c>
      <c r="B8" s="67" t="inlineStr">
        <is>
          <t>$2.69</t>
        </is>
      </c>
      <c r="C8" s="67" t="inlineStr">
        <is>
          <t>$0.63</t>
        </is>
      </c>
      <c r="D8" s="67" t="inlineStr">
        <is>
          <t>$0.66</t>
        </is>
      </c>
    </row>
    <row r="9" ht="18" customHeight="1" s="37">
      <c r="A9" s="71" t="inlineStr">
        <is>
          <t>Avg CPA ($)</t>
        </is>
      </c>
      <c r="B9" s="59" t="inlineStr">
        <is>
          <t>$48.96</t>
        </is>
      </c>
      <c r="C9" s="59" t="inlineStr">
        <is>
          <t>$75.51</t>
        </is>
      </c>
      <c r="D9" s="59" t="inlineStr">
        <is>
          <t>$38.87</t>
        </is>
      </c>
    </row>
    <row r="10" ht="18" customHeight="1" s="37">
      <c r="A10" s="72" t="inlineStr">
        <is>
          <t>Healthy ROI</t>
        </is>
      </c>
      <c r="B10" s="67" t="inlineStr">
        <is>
          <t>&gt;300%</t>
        </is>
      </c>
      <c r="C10" s="67" t="inlineStr">
        <is>
          <t>&gt;200%</t>
        </is>
      </c>
      <c r="D10" s="67" t="inlineStr">
        <is>
          <t>&gt;300%</t>
        </is>
      </c>
    </row>
  </sheetData>
  <mergeCells count="2">
    <mergeCell ref="A1:D1"/>
    <mergeCell ref="A2:D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2026-04-02T13:37:48Z</dcterms:created>
  <dcterms:modified xmlns:dcterms="http://purl.org/dc/terms/" xmlns:xsi="http://www.w3.org/2001/XMLSchema-instance" xsi:type="dcterms:W3CDTF">2026-04-02T13:44:40Z</dcterms:modified>
  <cp:revision>0</cp:revision>
</cp:coreProperties>
</file>